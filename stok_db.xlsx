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esracetindas\Desktop\"/>
    </mc:Choice>
  </mc:AlternateContent>
  <xr:revisionPtr revIDLastSave="0" documentId="13_ncr:1_{07D6EDA6-D550-4B34-967C-CD20EA4F8541}" xr6:coauthVersionLast="47" xr6:coauthVersionMax="47" xr10:uidLastSave="{00000000-0000-0000-0000-000000000000}"/>
  <bookViews>
    <workbookView xWindow="-108" yWindow="-108" windowWidth="23256" windowHeight="12576" tabRatio="807" xr2:uid="{00000000-000D-0000-FFFF-FFFF00000000}"/>
  </bookViews>
  <sheets>
    <sheet name="STOK KULLANIM" sheetId="3" r:id="rId1"/>
    <sheet name="FİRE DEPOSU" sheetId="5" r:id="rId2"/>
    <sheet name="KUTU PROFİL" sheetId="1" r:id="rId3"/>
    <sheet name="BORU PROFİL" sheetId="6" r:id="rId4"/>
    <sheet name="IPE PROFİL" sheetId="11" r:id="rId5"/>
    <sheet name="NPL PROFİL" sheetId="10" r:id="rId6"/>
    <sheet name="UNP PROFİL" sheetId="9" r:id="rId7"/>
    <sheet name="HEA PROFİL" sheetId="7" r:id="rId8"/>
    <sheet name="HEB PROFİL" sheetId="8" r:id="rId9"/>
    <sheet name="NPI PROFİL" sheetId="12" r:id="rId10"/>
    <sheet name="Ø PROFİL" sheetId="13" r:id="rId11"/>
    <sheet name="KARE DOLU" sheetId="14" r:id="rId12"/>
  </sheets>
  <definedNames>
    <definedName name="_xlnm._FilterDatabase" localSheetId="1" hidden="1">'FİRE DEPOSU'!$A$1:$H$1</definedName>
    <definedName name="SayfaListesi">_xludf.GET.WORKBOOK(1)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4" i="3"/>
  <c r="E4" i="5" s="1"/>
  <c r="J5" i="3"/>
  <c r="J6" i="3"/>
  <c r="J8" i="3"/>
  <c r="J9" i="3"/>
  <c r="J10" i="3"/>
  <c r="J11" i="3"/>
  <c r="J12" i="3"/>
  <c r="J13" i="3"/>
  <c r="J14" i="3"/>
  <c r="J15" i="3"/>
  <c r="J16" i="3"/>
  <c r="J17" i="3"/>
  <c r="J18" i="3"/>
  <c r="J19" i="3"/>
  <c r="H7" i="3"/>
  <c r="J7" i="3" s="1"/>
  <c r="H23" i="3"/>
  <c r="E3" i="5"/>
  <c r="B2" i="5"/>
  <c r="C2" i="5"/>
  <c r="D2" i="5"/>
  <c r="L2" i="3"/>
  <c r="H4" i="5" s="1"/>
  <c r="L3" i="3"/>
  <c r="L4" i="3"/>
  <c r="H6" i="5" s="1"/>
  <c r="L5" i="3"/>
  <c r="L6" i="3"/>
  <c r="H8" i="5" s="1"/>
  <c r="L7" i="3"/>
  <c r="H2" i="5" s="1"/>
  <c r="L8" i="3"/>
  <c r="L9" i="3"/>
  <c r="L10" i="3"/>
  <c r="H10" i="5" s="1"/>
  <c r="L11" i="3"/>
  <c r="L12" i="3"/>
  <c r="H12" i="5" s="1"/>
  <c r="L13" i="3"/>
  <c r="H13" i="5" s="1"/>
  <c r="L14" i="3"/>
  <c r="H14" i="5" s="1"/>
  <c r="L15" i="3"/>
  <c r="L16" i="3"/>
  <c r="H16" i="5" s="1"/>
  <c r="L17" i="3"/>
  <c r="H17" i="5" s="1"/>
  <c r="L18" i="3"/>
  <c r="H3" i="5" s="1"/>
  <c r="L19" i="3"/>
  <c r="L20" i="3"/>
  <c r="H19" i="5" s="1"/>
  <c r="L21" i="3"/>
  <c r="L22" i="3"/>
  <c r="H21" i="5" s="1"/>
  <c r="L23" i="3"/>
  <c r="L24" i="3"/>
  <c r="H23" i="5" s="1"/>
  <c r="L25" i="3"/>
  <c r="H24" i="5" s="1"/>
  <c r="L26" i="3"/>
  <c r="L27" i="3"/>
  <c r="H26" i="5" s="1"/>
  <c r="L28" i="3"/>
  <c r="H27" i="5" s="1"/>
  <c r="L29" i="3"/>
  <c r="L30" i="3"/>
  <c r="H30" i="5" s="1"/>
  <c r="L31" i="3"/>
  <c r="L32" i="3"/>
  <c r="H31" i="5" s="1"/>
  <c r="L33" i="3"/>
  <c r="L34" i="3"/>
  <c r="H33" i="5" s="1"/>
  <c r="L35" i="3"/>
  <c r="L36" i="3"/>
  <c r="H35" i="5" s="1"/>
  <c r="L37" i="3"/>
  <c r="L38" i="3"/>
  <c r="H38" i="5" s="1"/>
  <c r="L39" i="3"/>
  <c r="H39" i="5" s="1"/>
  <c r="L40" i="3"/>
  <c r="L41" i="3"/>
  <c r="H40" i="5" s="1"/>
  <c r="L42" i="3"/>
  <c r="H41" i="5" s="1"/>
  <c r="L43" i="3"/>
  <c r="L44" i="3"/>
  <c r="H43" i="5" s="1"/>
  <c r="L45" i="3"/>
  <c r="L46" i="3"/>
  <c r="H45" i="5" s="1"/>
  <c r="L47" i="3"/>
  <c r="L48" i="3"/>
  <c r="H47" i="5" s="1"/>
  <c r="L49" i="3"/>
  <c r="H48" i="5" s="1"/>
  <c r="L50" i="3"/>
  <c r="L51" i="3"/>
  <c r="H51" i="5" s="1"/>
  <c r="L52" i="3"/>
  <c r="L53" i="3"/>
  <c r="H52" i="5" s="1"/>
  <c r="L54" i="3"/>
  <c r="H54" i="5" s="1"/>
  <c r="L55" i="3"/>
  <c r="L56" i="3"/>
  <c r="L57" i="3"/>
  <c r="L58" i="3"/>
  <c r="H57" i="5" s="1"/>
  <c r="L59" i="3"/>
  <c r="L60" i="3"/>
  <c r="H59" i="5" s="1"/>
  <c r="L61" i="3"/>
  <c r="H60" i="5" s="1"/>
  <c r="L62" i="3"/>
  <c r="L63" i="3"/>
  <c r="H62" i="5" s="1"/>
  <c r="L64" i="3"/>
  <c r="H63" i="5" s="1"/>
  <c r="L65" i="3"/>
  <c r="H64" i="5" s="1"/>
  <c r="L66" i="3"/>
  <c r="H66" i="5" s="1"/>
  <c r="L67" i="3"/>
  <c r="L68" i="3"/>
  <c r="H67" i="5" s="1"/>
  <c r="L69" i="3"/>
  <c r="L70" i="3"/>
  <c r="H69" i="5" s="1"/>
  <c r="L71" i="3"/>
  <c r="L72" i="3"/>
  <c r="H71" i="5" s="1"/>
  <c r="L73" i="3"/>
  <c r="H72" i="5" s="1"/>
  <c r="L74" i="3"/>
  <c r="H73" i="5" s="1"/>
  <c r="L75" i="3"/>
  <c r="L76" i="3"/>
  <c r="L77" i="3"/>
  <c r="L78" i="3"/>
  <c r="H78" i="5" s="1"/>
  <c r="L79" i="3"/>
  <c r="L80" i="3"/>
  <c r="H79" i="5" s="1"/>
  <c r="L81" i="3"/>
  <c r="L82" i="3"/>
  <c r="H81" i="5" s="1"/>
  <c r="L83" i="3"/>
  <c r="L84" i="3"/>
  <c r="H83" i="5" s="1"/>
  <c r="L85" i="3"/>
  <c r="H84" i="5" s="1"/>
  <c r="L86" i="3"/>
  <c r="H85" i="5" s="1"/>
  <c r="L87" i="3"/>
  <c r="H86" i="5" s="1"/>
  <c r="L88" i="3"/>
  <c r="H87" i="5" s="1"/>
  <c r="L89" i="3"/>
  <c r="H88" i="5" s="1"/>
  <c r="L90" i="3"/>
  <c r="H89" i="5" s="1"/>
  <c r="L91" i="3"/>
  <c r="L92" i="3"/>
  <c r="H91" i="5" s="1"/>
  <c r="L93" i="3"/>
  <c r="L94" i="3"/>
  <c r="H93" i="5" s="1"/>
  <c r="L95" i="3"/>
  <c r="L96" i="3"/>
  <c r="H95" i="5" s="1"/>
  <c r="L97" i="3"/>
  <c r="H96" i="5" s="1"/>
  <c r="L98" i="3"/>
  <c r="H97" i="5" s="1"/>
  <c r="L99" i="3"/>
  <c r="H98" i="5" s="1"/>
  <c r="L100" i="3"/>
  <c r="H100" i="5" s="1"/>
  <c r="L101" i="3"/>
  <c r="H101" i="5" s="1"/>
  <c r="L102" i="3"/>
  <c r="H102" i="5" s="1"/>
  <c r="L103" i="3"/>
  <c r="L104" i="3"/>
  <c r="L105" i="3"/>
  <c r="L106" i="3"/>
  <c r="H105" i="5" s="1"/>
  <c r="L107" i="3"/>
  <c r="L108" i="3"/>
  <c r="H107" i="5" s="1"/>
  <c r="L109" i="3"/>
  <c r="H108" i="5" s="1"/>
  <c r="L110" i="3"/>
  <c r="H109" i="5" s="1"/>
  <c r="L111" i="3"/>
  <c r="H110" i="5" s="1"/>
  <c r="L112" i="3"/>
  <c r="H111" i="5" s="1"/>
  <c r="L113" i="3"/>
  <c r="H112" i="5" s="1"/>
  <c r="L114" i="3"/>
  <c r="H113" i="5" s="1"/>
  <c r="L115" i="3"/>
  <c r="L116" i="3"/>
  <c r="H115" i="5" s="1"/>
  <c r="L117" i="3"/>
  <c r="L118" i="3"/>
  <c r="H117" i="5" s="1"/>
  <c r="L119" i="3"/>
  <c r="L120" i="3"/>
  <c r="H119" i="5" s="1"/>
  <c r="L121" i="3"/>
  <c r="L122" i="3"/>
  <c r="L123" i="3"/>
  <c r="H122" i="5" s="1"/>
  <c r="L124" i="3"/>
  <c r="H123" i="5" s="1"/>
  <c r="L125" i="3"/>
  <c r="L126" i="3"/>
  <c r="H126" i="5" s="1"/>
  <c r="L127" i="3"/>
  <c r="L128" i="3"/>
  <c r="L129" i="3"/>
  <c r="L130" i="3"/>
  <c r="H129" i="5" s="1"/>
  <c r="L131" i="3"/>
  <c r="L132" i="3"/>
  <c r="H131" i="5" s="1"/>
  <c r="L133" i="3"/>
  <c r="L134" i="3"/>
  <c r="L135" i="3"/>
  <c r="H134" i="5" s="1"/>
  <c r="L136" i="3"/>
  <c r="L137" i="3"/>
  <c r="H136" i="5" s="1"/>
  <c r="L138" i="3"/>
  <c r="H137" i="5" s="1"/>
  <c r="L139" i="3"/>
  <c r="L140" i="3"/>
  <c r="H139" i="5" s="1"/>
  <c r="L141" i="3"/>
  <c r="L142" i="3"/>
  <c r="H141" i="5" s="1"/>
  <c r="L143" i="3"/>
  <c r="L144" i="3"/>
  <c r="H143" i="5" s="1"/>
  <c r="L145" i="3"/>
  <c r="H144" i="5" s="1"/>
  <c r="L146" i="3"/>
  <c r="H145" i="5" s="1"/>
  <c r="L147" i="3"/>
  <c r="L148" i="3"/>
  <c r="H147" i="5" s="1"/>
  <c r="L149" i="3"/>
  <c r="H148" i="5" s="1"/>
  <c r="L150" i="3"/>
  <c r="H150" i="5" s="1"/>
  <c r="L151" i="3"/>
  <c r="L152" i="3"/>
  <c r="H151" i="5" s="1"/>
  <c r="L153" i="3"/>
  <c r="L154" i="3"/>
  <c r="H153" i="5" s="1"/>
  <c r="L155" i="3"/>
  <c r="L156" i="3"/>
  <c r="H155" i="5" s="1"/>
  <c r="L157" i="3"/>
  <c r="H156" i="5" s="1"/>
  <c r="L158" i="3"/>
  <c r="H157" i="5" s="1"/>
  <c r="L159" i="3"/>
  <c r="L160" i="3"/>
  <c r="H159" i="5" s="1"/>
  <c r="L161" i="3"/>
  <c r="L162" i="3"/>
  <c r="H162" i="5" s="1"/>
  <c r="L163" i="3"/>
  <c r="L164" i="3"/>
  <c r="L165" i="3"/>
  <c r="L166" i="3"/>
  <c r="H165" i="5" s="1"/>
  <c r="L167" i="3"/>
  <c r="L168" i="3"/>
  <c r="H167" i="5" s="1"/>
  <c r="L169" i="3"/>
  <c r="H168" i="5" s="1"/>
  <c r="L170" i="3"/>
  <c r="L171" i="3"/>
  <c r="L172" i="3"/>
  <c r="H171" i="5" s="1"/>
  <c r="L173" i="3"/>
  <c r="H172" i="5" s="1"/>
  <c r="L174" i="3"/>
  <c r="H173" i="5" s="1"/>
  <c r="L175" i="3"/>
  <c r="L176" i="3"/>
  <c r="L177" i="3"/>
  <c r="L178" i="3"/>
  <c r="H177" i="5" s="1"/>
  <c r="L179" i="3"/>
  <c r="L180" i="3"/>
  <c r="H179" i="5" s="1"/>
  <c r="L181" i="3"/>
  <c r="L182" i="3"/>
  <c r="L183" i="3"/>
  <c r="H182" i="5" s="1"/>
  <c r="L184" i="3"/>
  <c r="H183" i="5" s="1"/>
  <c r="L185" i="3"/>
  <c r="L186" i="3"/>
  <c r="H186" i="5" s="1"/>
  <c r="L187" i="3"/>
  <c r="L188" i="3"/>
  <c r="H187" i="5" s="1"/>
  <c r="L189" i="3"/>
  <c r="L190" i="3"/>
  <c r="H189" i="5" s="1"/>
  <c r="L191" i="3"/>
  <c r="L192" i="3"/>
  <c r="H191" i="5" s="1"/>
  <c r="L193" i="3"/>
  <c r="H192" i="5" s="1"/>
  <c r="L194" i="3"/>
  <c r="L195" i="3"/>
  <c r="H194" i="5" s="1"/>
  <c r="L196" i="3"/>
  <c r="H195" i="5" s="1"/>
  <c r="L197" i="3"/>
  <c r="H196" i="5" s="1"/>
  <c r="L198" i="3"/>
  <c r="H197" i="5" s="1"/>
  <c r="L199" i="3"/>
  <c r="L200" i="3"/>
  <c r="H199" i="5" s="1"/>
  <c r="L201" i="3"/>
  <c r="L202" i="3"/>
  <c r="H201" i="5" s="1"/>
  <c r="L203" i="3"/>
  <c r="L204" i="3"/>
  <c r="H203" i="5" s="1"/>
  <c r="L205" i="3"/>
  <c r="L206" i="3"/>
  <c r="L207" i="3"/>
  <c r="H206" i="5" s="1"/>
  <c r="L208" i="3"/>
  <c r="H207" i="5" s="1"/>
  <c r="L209" i="3"/>
  <c r="H208" i="5" s="1"/>
  <c r="L210" i="3"/>
  <c r="H210" i="5" s="1"/>
  <c r="L211" i="3"/>
  <c r="L212" i="3"/>
  <c r="L213" i="3"/>
  <c r="L214" i="3"/>
  <c r="H213" i="5" s="1"/>
  <c r="L215" i="3"/>
  <c r="L216" i="3"/>
  <c r="H215" i="5" s="1"/>
  <c r="L217" i="3"/>
  <c r="H216" i="5" s="1"/>
  <c r="L218" i="3"/>
  <c r="H218" i="5" s="1"/>
  <c r="L219" i="3"/>
  <c r="L220" i="3"/>
  <c r="H219" i="5" s="1"/>
  <c r="L221" i="3"/>
  <c r="H220" i="5" s="1"/>
  <c r="L222" i="3"/>
  <c r="L223" i="3"/>
  <c r="L224" i="3"/>
  <c r="H223" i="5" s="1"/>
  <c r="L225" i="3"/>
  <c r="L226" i="3"/>
  <c r="H225" i="5" s="1"/>
  <c r="L227" i="3"/>
  <c r="L228" i="3"/>
  <c r="H227" i="5" s="1"/>
  <c r="L229" i="3"/>
  <c r="H228" i="5" s="1"/>
  <c r="L230" i="3"/>
  <c r="H229" i="5" s="1"/>
  <c r="L231" i="3"/>
  <c r="L232" i="3"/>
  <c r="H231" i="5" s="1"/>
  <c r="L233" i="3"/>
  <c r="L234" i="3"/>
  <c r="L235" i="3"/>
  <c r="L236" i="3"/>
  <c r="H235" i="5" s="1"/>
  <c r="L237" i="3"/>
  <c r="L238" i="3"/>
  <c r="H237" i="5" s="1"/>
  <c r="L239" i="3"/>
  <c r="L240" i="3"/>
  <c r="H239" i="5" s="1"/>
  <c r="L241" i="3"/>
  <c r="H240" i="5" s="1"/>
  <c r="L242" i="3"/>
  <c r="H241" i="5" s="1"/>
  <c r="L243" i="3"/>
  <c r="H242" i="5" s="1"/>
  <c r="L244" i="3"/>
  <c r="H243" i="5" s="1"/>
  <c r="L245" i="3"/>
  <c r="H244" i="5" s="1"/>
  <c r="L246" i="3"/>
  <c r="H245" i="5" s="1"/>
  <c r="L247" i="3"/>
  <c r="L248" i="3"/>
  <c r="H247" i="5" s="1"/>
  <c r="L249" i="3"/>
  <c r="L250" i="3"/>
  <c r="H249" i="5" s="1"/>
  <c r="L251" i="3"/>
  <c r="L252" i="3"/>
  <c r="H251" i="5" s="1"/>
  <c r="L253" i="3"/>
  <c r="H252" i="5" s="1"/>
  <c r="L254" i="3"/>
  <c r="L255" i="3"/>
  <c r="L256" i="3"/>
  <c r="H255" i="5" s="1"/>
  <c r="L257" i="3"/>
  <c r="H256" i="5" s="1"/>
  <c r="L258" i="3"/>
  <c r="H258" i="5" s="1"/>
  <c r="L259" i="3"/>
  <c r="L260" i="3"/>
  <c r="L261" i="3"/>
  <c r="L262" i="3"/>
  <c r="H261" i="5" s="1"/>
  <c r="L263" i="3"/>
  <c r="L264" i="3"/>
  <c r="H263" i="5" s="1"/>
  <c r="L265" i="3"/>
  <c r="L266" i="3"/>
  <c r="H266" i="5" s="1"/>
  <c r="L267" i="3"/>
  <c r="L268" i="3"/>
  <c r="H267" i="5" s="1"/>
  <c r="L269" i="3"/>
  <c r="H268" i="5" s="1"/>
  <c r="L270" i="3"/>
  <c r="L271" i="3"/>
  <c r="L272" i="3"/>
  <c r="H271" i="5" s="1"/>
  <c r="L273" i="3"/>
  <c r="L274" i="3"/>
  <c r="H273" i="5" s="1"/>
  <c r="L275" i="3"/>
  <c r="L276" i="3"/>
  <c r="H275" i="5" s="1"/>
  <c r="L277" i="3"/>
  <c r="L278" i="3"/>
  <c r="L279" i="3"/>
  <c r="L280" i="3"/>
  <c r="L281" i="3"/>
  <c r="H280" i="5" s="1"/>
  <c r="L282" i="3"/>
  <c r="H282" i="5" s="1"/>
  <c r="L283" i="3"/>
  <c r="L284" i="3"/>
  <c r="L285" i="3"/>
  <c r="L286" i="3"/>
  <c r="H285" i="5" s="1"/>
  <c r="L287" i="3"/>
  <c r="L288" i="3"/>
  <c r="H287" i="5" s="1"/>
  <c r="L289" i="3"/>
  <c r="H288" i="5" s="1"/>
  <c r="L290" i="3"/>
  <c r="L291" i="3"/>
  <c r="H290" i="5" s="1"/>
  <c r="L292" i="3"/>
  <c r="H291" i="5" s="1"/>
  <c r="L293" i="3"/>
  <c r="H292" i="5" s="1"/>
  <c r="L294" i="3"/>
  <c r="H293" i="5" s="1"/>
  <c r="L295" i="3"/>
  <c r="L296" i="3"/>
  <c r="L297" i="3"/>
  <c r="H296" i="5" s="1"/>
  <c r="L298" i="3"/>
  <c r="H297" i="5" s="1"/>
  <c r="L299" i="3"/>
  <c r="L300" i="3"/>
  <c r="H299" i="5" s="1"/>
  <c r="L301" i="3"/>
  <c r="H300" i="5" s="1"/>
  <c r="L302" i="3"/>
  <c r="H302" i="5" s="1"/>
  <c r="L303" i="3"/>
  <c r="L304" i="3"/>
  <c r="H303" i="5" s="1"/>
  <c r="L305" i="3"/>
  <c r="L306" i="3"/>
  <c r="H306" i="5" s="1"/>
  <c r="L307" i="3"/>
  <c r="L308" i="3"/>
  <c r="H307" i="5" s="1"/>
  <c r="L309" i="3"/>
  <c r="H308" i="5" s="1"/>
  <c r="L310" i="3"/>
  <c r="H309" i="5" s="1"/>
  <c r="L311" i="3"/>
  <c r="L312" i="3"/>
  <c r="H311" i="5" s="1"/>
  <c r="L313" i="3"/>
  <c r="L314" i="3"/>
  <c r="H314" i="5" s="1"/>
  <c r="L315" i="3"/>
  <c r="L316" i="3"/>
  <c r="H315" i="5" s="1"/>
  <c r="L317" i="3"/>
  <c r="H316" i="5" s="1"/>
  <c r="L318" i="3"/>
  <c r="L319" i="3"/>
  <c r="L320" i="3"/>
  <c r="H319" i="5" s="1"/>
  <c r="L321" i="3"/>
  <c r="H320" i="5" s="1"/>
  <c r="L322" i="3"/>
  <c r="H321" i="5" s="1"/>
  <c r="L323" i="3"/>
  <c r="L324" i="3"/>
  <c r="H323" i="5" s="1"/>
  <c r="L325" i="3"/>
  <c r="H324" i="5" s="1"/>
  <c r="L326" i="3"/>
  <c r="H325" i="5" s="1"/>
  <c r="L327" i="3"/>
  <c r="H326" i="5" s="1"/>
  <c r="L328" i="3"/>
  <c r="H327" i="5" s="1"/>
  <c r="L329" i="3"/>
  <c r="L330" i="3"/>
  <c r="H330" i="5" s="1"/>
  <c r="L331" i="3"/>
  <c r="L332" i="3"/>
  <c r="L333" i="3"/>
  <c r="H332" i="5" s="1"/>
  <c r="L334" i="3"/>
  <c r="H333" i="5" s="1"/>
  <c r="L335" i="3"/>
  <c r="L336" i="3"/>
  <c r="H335" i="5" s="1"/>
  <c r="L337" i="3"/>
  <c r="H336" i="5" s="1"/>
  <c r="L338" i="3"/>
  <c r="H337" i="5" s="1"/>
  <c r="L339" i="3"/>
  <c r="L340" i="3"/>
  <c r="H339" i="5" s="1"/>
  <c r="L341" i="3"/>
  <c r="H341" i="5" s="1"/>
  <c r="L342" i="3"/>
  <c r="L343" i="3"/>
  <c r="L344" i="3"/>
  <c r="H343" i="5" s="1"/>
  <c r="L345" i="3"/>
  <c r="H344" i="5" s="1"/>
  <c r="L346" i="3"/>
  <c r="H345" i="5" s="1"/>
  <c r="L347" i="3"/>
  <c r="L348" i="3"/>
  <c r="H347" i="5" s="1"/>
  <c r="L349" i="3"/>
  <c r="L350" i="3"/>
  <c r="L351" i="3"/>
  <c r="H350" i="5" s="1"/>
  <c r="L352" i="3"/>
  <c r="H351" i="5" s="1"/>
  <c r="L353" i="3"/>
  <c r="L354" i="3"/>
  <c r="H354" i="5" s="1"/>
  <c r="L355" i="3"/>
  <c r="L356" i="3"/>
  <c r="H355" i="5" s="1"/>
  <c r="L357" i="3"/>
  <c r="H356" i="5" s="1"/>
  <c r="L358" i="3"/>
  <c r="H357" i="5" s="1"/>
  <c r="L359" i="3"/>
  <c r="L360" i="3"/>
  <c r="H359" i="5" s="1"/>
  <c r="L361" i="3"/>
  <c r="H360" i="5" s="1"/>
  <c r="L362" i="3"/>
  <c r="H361" i="5" s="1"/>
  <c r="L363" i="3"/>
  <c r="L364" i="3"/>
  <c r="H363" i="5" s="1"/>
  <c r="L365" i="3"/>
  <c r="H364" i="5" s="1"/>
  <c r="L366" i="3"/>
  <c r="H365" i="5" s="1"/>
  <c r="L367" i="3"/>
  <c r="L368" i="3"/>
  <c r="H367" i="5" s="1"/>
  <c r="L369" i="3"/>
  <c r="H368" i="5" s="1"/>
  <c r="L370" i="3"/>
  <c r="H369" i="5" s="1"/>
  <c r="L371" i="3"/>
  <c r="L372" i="3"/>
  <c r="H371" i="5" s="1"/>
  <c r="L373" i="3"/>
  <c r="H372" i="5" s="1"/>
  <c r="L374" i="3"/>
  <c r="H373" i="5" s="1"/>
  <c r="L375" i="3"/>
  <c r="L376" i="3"/>
  <c r="H375" i="5" s="1"/>
  <c r="L377" i="3"/>
  <c r="H376" i="5" s="1"/>
  <c r="L378" i="3"/>
  <c r="H377" i="5" s="1"/>
  <c r="L379" i="3"/>
  <c r="L380" i="3"/>
  <c r="H379" i="5" s="1"/>
  <c r="L381" i="3"/>
  <c r="H380" i="5" s="1"/>
  <c r="L382" i="3"/>
  <c r="H381" i="5" s="1"/>
  <c r="L383" i="3"/>
  <c r="L384" i="3"/>
  <c r="H383" i="5" s="1"/>
  <c r="L385" i="3"/>
  <c r="H384" i="5" s="1"/>
  <c r="L386" i="3"/>
  <c r="H385" i="5" s="1"/>
  <c r="L387" i="3"/>
  <c r="H386" i="5" s="1"/>
  <c r="L388" i="3"/>
  <c r="H387" i="5" s="1"/>
  <c r="L389" i="3"/>
  <c r="H388" i="5" s="1"/>
  <c r="L390" i="3"/>
  <c r="L391" i="3"/>
  <c r="L392" i="3"/>
  <c r="H391" i="5" s="1"/>
  <c r="L393" i="3"/>
  <c r="H392" i="5" s="1"/>
  <c r="L394" i="3"/>
  <c r="H393" i="5" s="1"/>
  <c r="L395" i="3"/>
  <c r="L396" i="3"/>
  <c r="H395" i="5" s="1"/>
  <c r="L397" i="3"/>
  <c r="H396" i="5" s="1"/>
  <c r="L398" i="3"/>
  <c r="H397" i="5" s="1"/>
  <c r="L399" i="3"/>
  <c r="H399" i="5" s="1"/>
  <c r="L400" i="3"/>
  <c r="L401" i="3"/>
  <c r="H400" i="5" s="1"/>
  <c r="L402" i="3"/>
  <c r="H401" i="5" s="1"/>
  <c r="L403" i="3"/>
  <c r="L404" i="3"/>
  <c r="H403" i="5" s="1"/>
  <c r="L405" i="3"/>
  <c r="H404" i="5" s="1"/>
  <c r="L406" i="3"/>
  <c r="H405" i="5" s="1"/>
  <c r="L407" i="3"/>
  <c r="L408" i="3"/>
  <c r="H407" i="5" s="1"/>
  <c r="L409" i="3"/>
  <c r="H408" i="5" s="1"/>
  <c r="L410" i="3"/>
  <c r="L411" i="3"/>
  <c r="H410" i="5" s="1"/>
  <c r="L412" i="3"/>
  <c r="H411" i="5" s="1"/>
  <c r="L413" i="3"/>
  <c r="L414" i="3"/>
  <c r="L415" i="3"/>
  <c r="L416" i="3"/>
  <c r="H415" i="5" s="1"/>
  <c r="L417" i="3"/>
  <c r="H416" i="5" s="1"/>
  <c r="L418" i="3"/>
  <c r="H417" i="5" s="1"/>
  <c r="L419" i="3"/>
  <c r="L420" i="3"/>
  <c r="H419" i="5" s="1"/>
  <c r="L421" i="3"/>
  <c r="H420" i="5" s="1"/>
  <c r="L422" i="3"/>
  <c r="H421" i="5" s="1"/>
  <c r="L423" i="3"/>
  <c r="H423" i="5" s="1"/>
  <c r="L424" i="3"/>
  <c r="L425" i="3"/>
  <c r="H424" i="5" s="1"/>
  <c r="L426" i="3"/>
  <c r="H426" i="5" s="1"/>
  <c r="L427" i="3"/>
  <c r="L428" i="3"/>
  <c r="L429" i="3"/>
  <c r="H428" i="5" s="1"/>
  <c r="L430" i="3"/>
  <c r="H429" i="5" s="1"/>
  <c r="L431" i="3"/>
  <c r="L432" i="3"/>
  <c r="H431" i="5" s="1"/>
  <c r="L433" i="3"/>
  <c r="H432" i="5" s="1"/>
  <c r="L434" i="3"/>
  <c r="H433" i="5" s="1"/>
  <c r="L435" i="3"/>
  <c r="H434" i="5" s="1"/>
  <c r="L436" i="3"/>
  <c r="H435" i="5" s="1"/>
  <c r="L437" i="3"/>
  <c r="H436" i="5" s="1"/>
  <c r="L438" i="3"/>
  <c r="H437" i="5" s="1"/>
  <c r="L439" i="3"/>
  <c r="L440" i="3"/>
  <c r="L441" i="3"/>
  <c r="H440" i="5" s="1"/>
  <c r="L442" i="3"/>
  <c r="L443" i="3"/>
  <c r="L444" i="3"/>
  <c r="H443" i="5" s="1"/>
  <c r="L445" i="3"/>
  <c r="H444" i="5" s="1"/>
  <c r="L446" i="3"/>
  <c r="H445" i="5" s="1"/>
  <c r="L447" i="3"/>
  <c r="L448" i="3"/>
  <c r="L449" i="3"/>
  <c r="H448" i="5" s="1"/>
  <c r="L450" i="3"/>
  <c r="H449" i="5" s="1"/>
  <c r="L451" i="3"/>
  <c r="L452" i="3"/>
  <c r="H451" i="5" s="1"/>
  <c r="L453" i="3"/>
  <c r="H452" i="5" s="1"/>
  <c r="L454" i="3"/>
  <c r="H453" i="5" s="1"/>
  <c r="L455" i="3"/>
  <c r="L456" i="3"/>
  <c r="H455" i="5" s="1"/>
  <c r="L457" i="3"/>
  <c r="H456" i="5" s="1"/>
  <c r="L458" i="3"/>
  <c r="H457" i="5" s="1"/>
  <c r="L459" i="3"/>
  <c r="H458" i="5" s="1"/>
  <c r="L460" i="3"/>
  <c r="H459" i="5" s="1"/>
  <c r="L461" i="3"/>
  <c r="H460" i="5" s="1"/>
  <c r="L462" i="3"/>
  <c r="H461" i="5" s="1"/>
  <c r="L463" i="3"/>
  <c r="L464" i="3"/>
  <c r="H463" i="5" s="1"/>
  <c r="L465" i="3"/>
  <c r="H464" i="5" s="1"/>
  <c r="L466" i="3"/>
  <c r="H465" i="5" s="1"/>
  <c r="L467" i="3"/>
  <c r="L468" i="3"/>
  <c r="H467" i="5" s="1"/>
  <c r="L469" i="3"/>
  <c r="H468" i="5" s="1"/>
  <c r="L470" i="3"/>
  <c r="H470" i="5" s="1"/>
  <c r="L471" i="3"/>
  <c r="L472" i="3"/>
  <c r="H471" i="5" s="1"/>
  <c r="L473" i="3"/>
  <c r="H472" i="5" s="1"/>
  <c r="L474" i="3"/>
  <c r="H473" i="5" s="1"/>
  <c r="L475" i="3"/>
  <c r="L476" i="3"/>
  <c r="H475" i="5" s="1"/>
  <c r="L477" i="3"/>
  <c r="H476" i="5" s="1"/>
  <c r="L478" i="3"/>
  <c r="H477" i="5" s="1"/>
  <c r="L479" i="3"/>
  <c r="L480" i="3"/>
  <c r="H479" i="5" s="1"/>
  <c r="L481" i="3"/>
  <c r="L482" i="3"/>
  <c r="L483" i="3"/>
  <c r="H482" i="5" s="1"/>
  <c r="L484" i="3"/>
  <c r="H483" i="5" s="1"/>
  <c r="L485" i="3"/>
  <c r="L486" i="3"/>
  <c r="L487" i="3"/>
  <c r="L488" i="3"/>
  <c r="H487" i="5" s="1"/>
  <c r="L489" i="3"/>
  <c r="H488" i="5" s="1"/>
  <c r="L490" i="3"/>
  <c r="H489" i="5" s="1"/>
  <c r="L491" i="3"/>
  <c r="L492" i="3"/>
  <c r="H491" i="5" s="1"/>
  <c r="L493" i="3"/>
  <c r="H492" i="5" s="1"/>
  <c r="L494" i="3"/>
  <c r="H494" i="5" s="1"/>
  <c r="L495" i="3"/>
  <c r="H495" i="5" s="1"/>
  <c r="L496" i="3"/>
  <c r="L497" i="3"/>
  <c r="H496" i="5" s="1"/>
  <c r="L498" i="3"/>
  <c r="L499" i="3"/>
  <c r="L500" i="3"/>
  <c r="H499" i="5" s="1"/>
  <c r="L501" i="3"/>
  <c r="L502" i="3"/>
  <c r="H501" i="5" s="1"/>
  <c r="L503" i="3"/>
  <c r="L504" i="3"/>
  <c r="H503" i="5" s="1"/>
  <c r="L505" i="3"/>
  <c r="H504" i="5" s="1"/>
  <c r="L506" i="3"/>
  <c r="H505" i="5" s="1"/>
  <c r="L507" i="3"/>
  <c r="H506" i="5" s="1"/>
  <c r="L508" i="3"/>
  <c r="H507" i="5" s="1"/>
  <c r="L509" i="3"/>
  <c r="H508" i="5" s="1"/>
  <c r="L510" i="3"/>
  <c r="H509" i="5" s="1"/>
  <c r="L511" i="3"/>
  <c r="L512" i="3"/>
  <c r="L513" i="3"/>
  <c r="H512" i="5" s="1"/>
  <c r="L514" i="3"/>
  <c r="H513" i="5" s="1"/>
  <c r="L515" i="3"/>
  <c r="L516" i="3"/>
  <c r="H515" i="5" s="1"/>
  <c r="L517" i="3"/>
  <c r="H516" i="5" s="1"/>
  <c r="L518" i="3"/>
  <c r="H517" i="5" s="1"/>
  <c r="L519" i="3"/>
  <c r="L520" i="3"/>
  <c r="H519" i="5" s="1"/>
  <c r="L521" i="3"/>
  <c r="H520" i="5" s="1"/>
  <c r="L522" i="3"/>
  <c r="H521" i="5" s="1"/>
  <c r="L523" i="3"/>
  <c r="L524" i="3"/>
  <c r="L525" i="3"/>
  <c r="H524" i="5" s="1"/>
  <c r="L526" i="3"/>
  <c r="H525" i="5" s="1"/>
  <c r="L527" i="3"/>
  <c r="L528" i="3"/>
  <c r="H527" i="5" s="1"/>
  <c r="L529" i="3"/>
  <c r="H528" i="5" s="1"/>
  <c r="L530" i="3"/>
  <c r="L531" i="3"/>
  <c r="H530" i="5" s="1"/>
  <c r="L532" i="3"/>
  <c r="H531" i="5" s="1"/>
  <c r="L533" i="3"/>
  <c r="H532" i="5" s="1"/>
  <c r="L534" i="3"/>
  <c r="H533" i="5" s="1"/>
  <c r="L535" i="3"/>
  <c r="L536" i="3"/>
  <c r="H535" i="5" s="1"/>
  <c r="L537" i="3"/>
  <c r="H536" i="5" s="1"/>
  <c r="L538" i="3"/>
  <c r="H537" i="5" s="1"/>
  <c r="L539" i="3"/>
  <c r="L540" i="3"/>
  <c r="H539" i="5" s="1"/>
  <c r="L541" i="3"/>
  <c r="H540" i="5" s="1"/>
  <c r="L542" i="3"/>
  <c r="H542" i="5" s="1"/>
  <c r="L543" i="3"/>
  <c r="L544" i="3"/>
  <c r="H543" i="5" s="1"/>
  <c r="L545" i="3"/>
  <c r="H545" i="5" s="1"/>
  <c r="L546" i="3"/>
  <c r="H546" i="5" s="1"/>
  <c r="L547" i="3"/>
  <c r="L548" i="3"/>
  <c r="L549" i="3"/>
  <c r="L550" i="3"/>
  <c r="H549" i="5" s="1"/>
  <c r="L551" i="3"/>
  <c r="L552" i="3"/>
  <c r="H551" i="5" s="1"/>
  <c r="L553" i="3"/>
  <c r="H552" i="5" s="1"/>
  <c r="L554" i="3"/>
  <c r="H553" i="5" s="1"/>
  <c r="L555" i="3"/>
  <c r="L556" i="3"/>
  <c r="H555" i="5" s="1"/>
  <c r="L557" i="3"/>
  <c r="H556" i="5" s="1"/>
  <c r="L558" i="3"/>
  <c r="L559" i="3"/>
  <c r="L560" i="3"/>
  <c r="H559" i="5" s="1"/>
  <c r="L561" i="3"/>
  <c r="H560" i="5" s="1"/>
  <c r="L562" i="3"/>
  <c r="H561" i="5" s="1"/>
  <c r="L563" i="3"/>
  <c r="L564" i="3"/>
  <c r="H563" i="5" s="1"/>
  <c r="L565" i="3"/>
  <c r="L566" i="3"/>
  <c r="H566" i="5" s="1"/>
  <c r="L567" i="3"/>
  <c r="L568" i="3"/>
  <c r="H567" i="5" s="1"/>
  <c r="L569" i="3"/>
  <c r="H568" i="5" s="1"/>
  <c r="L570" i="3"/>
  <c r="L571" i="3"/>
  <c r="L572" i="3"/>
  <c r="H571" i="5" s="1"/>
  <c r="L573" i="3"/>
  <c r="H572" i="5" s="1"/>
  <c r="L574" i="3"/>
  <c r="H573" i="5" s="1"/>
  <c r="L575" i="3"/>
  <c r="L576" i="3"/>
  <c r="H575" i="5" s="1"/>
  <c r="L577" i="3"/>
  <c r="H576" i="5" s="1"/>
  <c r="L578" i="3"/>
  <c r="H577" i="5" s="1"/>
  <c r="L579" i="3"/>
  <c r="L580" i="3"/>
  <c r="H579" i="5" s="1"/>
  <c r="L581" i="3"/>
  <c r="H580" i="5" s="1"/>
  <c r="L582" i="3"/>
  <c r="H581" i="5" s="1"/>
  <c r="L583" i="3"/>
  <c r="L584" i="3"/>
  <c r="L585" i="3"/>
  <c r="H584" i="5" s="1"/>
  <c r="L586" i="3"/>
  <c r="H585" i="5" s="1"/>
  <c r="L587" i="3"/>
  <c r="L588" i="3"/>
  <c r="H587" i="5" s="1"/>
  <c r="L589" i="3"/>
  <c r="H588" i="5" s="1"/>
  <c r="L590" i="3"/>
  <c r="H589" i="5" s="1"/>
  <c r="L591" i="3"/>
  <c r="L592" i="3"/>
  <c r="H591" i="5" s="1"/>
  <c r="L593" i="3"/>
  <c r="H592" i="5" s="1"/>
  <c r="L594" i="3"/>
  <c r="L595" i="3"/>
  <c r="L596" i="3"/>
  <c r="H595" i="5" s="1"/>
  <c r="L597" i="3"/>
  <c r="L598" i="3"/>
  <c r="H597" i="5" s="1"/>
  <c r="L599" i="3"/>
  <c r="L600" i="3"/>
  <c r="H599" i="5" s="1"/>
  <c r="L601" i="3"/>
  <c r="H600" i="5" s="1"/>
  <c r="L602" i="3"/>
  <c r="H601" i="5" s="1"/>
  <c r="L603" i="3"/>
  <c r="H602" i="5" s="1"/>
  <c r="L604" i="3"/>
  <c r="H603" i="5" s="1"/>
  <c r="L605" i="3"/>
  <c r="H604" i="5" s="1"/>
  <c r="L606" i="3"/>
  <c r="H605" i="5" s="1"/>
  <c r="L607" i="3"/>
  <c r="L608" i="3"/>
  <c r="H607" i="5" s="1"/>
  <c r="L609" i="3"/>
  <c r="H608" i="5" s="1"/>
  <c r="L610" i="3"/>
  <c r="H609" i="5" s="1"/>
  <c r="L611" i="3"/>
  <c r="L612" i="3"/>
  <c r="H611" i="5" s="1"/>
  <c r="L613" i="3"/>
  <c r="H612" i="5" s="1"/>
  <c r="L614" i="3"/>
  <c r="H614" i="5" s="1"/>
  <c r="L615" i="3"/>
  <c r="L616" i="3"/>
  <c r="H615" i="5" s="1"/>
  <c r="L617" i="3"/>
  <c r="H616" i="5" s="1"/>
  <c r="L618" i="3"/>
  <c r="H617" i="5" s="1"/>
  <c r="L619" i="3"/>
  <c r="L620" i="3"/>
  <c r="H619" i="5" s="1"/>
  <c r="L621" i="3"/>
  <c r="H620" i="5" s="1"/>
  <c r="L622" i="3"/>
  <c r="H621" i="5" s="1"/>
  <c r="L623" i="3"/>
  <c r="L624" i="3"/>
  <c r="H623" i="5" s="1"/>
  <c r="L625" i="3"/>
  <c r="H624" i="5" s="1"/>
  <c r="L626" i="3"/>
  <c r="H625" i="5" s="1"/>
  <c r="L627" i="3"/>
  <c r="H627" i="5" s="1"/>
  <c r="L628" i="3"/>
  <c r="L629" i="3"/>
  <c r="H628" i="5" s="1"/>
  <c r="L630" i="3"/>
  <c r="L631" i="3"/>
  <c r="L632" i="3"/>
  <c r="L633" i="3"/>
  <c r="H632" i="5" s="1"/>
  <c r="L634" i="3"/>
  <c r="H633" i="5" s="1"/>
  <c r="L635" i="3"/>
  <c r="L636" i="3"/>
  <c r="H635" i="5" s="1"/>
  <c r="L637" i="3"/>
  <c r="L638" i="3"/>
  <c r="L639" i="3"/>
  <c r="L640" i="3"/>
  <c r="H639" i="5" s="1"/>
  <c r="L641" i="3"/>
  <c r="H640" i="5" s="1"/>
  <c r="L642" i="3"/>
  <c r="H641" i="5" s="1"/>
  <c r="L643" i="3"/>
  <c r="L644" i="3"/>
  <c r="H643" i="5" s="1"/>
  <c r="L645" i="3"/>
  <c r="H644" i="5" s="1"/>
  <c r="L646" i="3"/>
  <c r="H645" i="5" s="1"/>
  <c r="L647" i="3"/>
  <c r="L648" i="3"/>
  <c r="H647" i="5" s="1"/>
  <c r="L649" i="3"/>
  <c r="H648" i="5" s="1"/>
  <c r="L650" i="3"/>
  <c r="H649" i="5" s="1"/>
  <c r="L651" i="3"/>
  <c r="H650" i="5" s="1"/>
  <c r="L652" i="3"/>
  <c r="H651" i="5" s="1"/>
  <c r="L653" i="3"/>
  <c r="L654" i="3"/>
  <c r="H653" i="5" s="1"/>
  <c r="L655" i="3"/>
  <c r="L656" i="3"/>
  <c r="H655" i="5" s="1"/>
  <c r="L657" i="3"/>
  <c r="H656" i="5" s="1"/>
  <c r="L658" i="3"/>
  <c r="H657" i="5" s="1"/>
  <c r="L659" i="3"/>
  <c r="L660" i="3"/>
  <c r="H659" i="5" s="1"/>
  <c r="L661" i="3"/>
  <c r="L662" i="3"/>
  <c r="L663" i="3"/>
  <c r="H662" i="5" s="1"/>
  <c r="L664" i="3"/>
  <c r="H663" i="5" s="1"/>
  <c r="L665" i="3"/>
  <c r="H664" i="5" s="1"/>
  <c r="L666" i="3"/>
  <c r="L667" i="3"/>
  <c r="L668" i="3"/>
  <c r="L669" i="3"/>
  <c r="H668" i="5" s="1"/>
  <c r="L670" i="3"/>
  <c r="H669" i="5" s="1"/>
  <c r="L671" i="3"/>
  <c r="L672" i="3"/>
  <c r="H671" i="5" s="1"/>
  <c r="L673" i="3"/>
  <c r="H672" i="5" s="1"/>
  <c r="L674" i="3"/>
  <c r="H673" i="5" s="1"/>
  <c r="L675" i="3"/>
  <c r="L676" i="3"/>
  <c r="H675" i="5" s="1"/>
  <c r="L677" i="3"/>
  <c r="H676" i="5" s="1"/>
  <c r="L678" i="3"/>
  <c r="H677" i="5" s="1"/>
  <c r="L679" i="3"/>
  <c r="L680" i="3"/>
  <c r="L681" i="3"/>
  <c r="L682" i="3"/>
  <c r="H681" i="5" s="1"/>
  <c r="L683" i="3"/>
  <c r="L684" i="3"/>
  <c r="H683" i="5" s="1"/>
  <c r="L685" i="3"/>
  <c r="H684" i="5" s="1"/>
  <c r="L686" i="3"/>
  <c r="H685" i="5" s="1"/>
  <c r="L687" i="3"/>
  <c r="H686" i="5" s="1"/>
  <c r="L688" i="3"/>
  <c r="H687" i="5" s="1"/>
  <c r="L689" i="3"/>
  <c r="H688" i="5" s="1"/>
  <c r="L690" i="3"/>
  <c r="H689" i="5" s="1"/>
  <c r="L691" i="3"/>
  <c r="L692" i="3"/>
  <c r="L693" i="3"/>
  <c r="H692" i="5" s="1"/>
  <c r="L694" i="3"/>
  <c r="H693" i="5" s="1"/>
  <c r="L695" i="3"/>
  <c r="L696" i="3"/>
  <c r="H695" i="5" s="1"/>
  <c r="L697" i="3"/>
  <c r="H696" i="5" s="1"/>
  <c r="L698" i="3"/>
  <c r="H698" i="5" s="1"/>
  <c r="L699" i="3"/>
  <c r="H699" i="5" s="1"/>
  <c r="L700" i="3"/>
  <c r="H700" i="5" s="1"/>
  <c r="L701" i="3"/>
  <c r="H701" i="5" s="1"/>
  <c r="L702" i="3"/>
  <c r="L703" i="3"/>
  <c r="L704" i="3"/>
  <c r="L705" i="3"/>
  <c r="H704" i="5" s="1"/>
  <c r="L706" i="3"/>
  <c r="H705" i="5" s="1"/>
  <c r="L707" i="3"/>
  <c r="L708" i="3"/>
  <c r="H707" i="5" s="1"/>
  <c r="L709" i="3"/>
  <c r="H708" i="5" s="1"/>
  <c r="L710" i="3"/>
  <c r="L711" i="3"/>
  <c r="H710" i="5" s="1"/>
  <c r="L712" i="3"/>
  <c r="H711" i="5" s="1"/>
  <c r="L713" i="3"/>
  <c r="L714" i="3"/>
  <c r="L715" i="3"/>
  <c r="L716" i="3"/>
  <c r="L717" i="3"/>
  <c r="H716" i="5" s="1"/>
  <c r="L718" i="3"/>
  <c r="H717" i="5" s="1"/>
  <c r="L719" i="3"/>
  <c r="L720" i="3"/>
  <c r="H719" i="5" s="1"/>
  <c r="L721" i="3"/>
  <c r="H720" i="5" s="1"/>
  <c r="L722" i="3"/>
  <c r="H721" i="5" s="1"/>
  <c r="L723" i="3"/>
  <c r="L724" i="3"/>
  <c r="H723" i="5" s="1"/>
  <c r="L725" i="3"/>
  <c r="H724" i="5" s="1"/>
  <c r="L726" i="3"/>
  <c r="L727" i="3"/>
  <c r="L728" i="3"/>
  <c r="L729" i="3"/>
  <c r="H728" i="5" s="1"/>
  <c r="L730" i="3"/>
  <c r="H729" i="5" s="1"/>
  <c r="L731" i="3"/>
  <c r="L732" i="3"/>
  <c r="H731" i="5" s="1"/>
  <c r="L733" i="3"/>
  <c r="H732" i="5" s="1"/>
  <c r="L734" i="3"/>
  <c r="H733" i="5" s="1"/>
  <c r="L735" i="3"/>
  <c r="L736" i="3"/>
  <c r="H735" i="5" s="1"/>
  <c r="L737" i="3"/>
  <c r="H736" i="5" s="1"/>
  <c r="L738" i="3"/>
  <c r="L739" i="3"/>
  <c r="L740" i="3"/>
  <c r="L741" i="3"/>
  <c r="H740" i="5" s="1"/>
  <c r="L742" i="3"/>
  <c r="H741" i="5" s="1"/>
  <c r="L743" i="3"/>
  <c r="L744" i="3"/>
  <c r="H743" i="5" s="1"/>
  <c r="L745" i="3"/>
  <c r="H744" i="5" s="1"/>
  <c r="L746" i="3"/>
  <c r="H745" i="5" s="1"/>
  <c r="L747" i="3"/>
  <c r="H746" i="5" s="1"/>
  <c r="L748" i="3"/>
  <c r="H747" i="5" s="1"/>
  <c r="L749" i="3"/>
  <c r="L750" i="3"/>
  <c r="H750" i="5" s="1"/>
  <c r="L751" i="3"/>
  <c r="L752" i="3"/>
  <c r="L753" i="3"/>
  <c r="H752" i="5" s="1"/>
  <c r="L754" i="3"/>
  <c r="H753" i="5" s="1"/>
  <c r="L755" i="3"/>
  <c r="L756" i="3"/>
  <c r="H755" i="5" s="1"/>
  <c r="L757" i="3"/>
  <c r="H756" i="5" s="1"/>
  <c r="L758" i="3"/>
  <c r="L759" i="3"/>
  <c r="L760" i="3"/>
  <c r="H759" i="5" s="1"/>
  <c r="L761" i="3"/>
  <c r="H760" i="5" s="1"/>
  <c r="L762" i="3"/>
  <c r="H761" i="5" s="1"/>
  <c r="L763" i="3"/>
  <c r="L764" i="3"/>
  <c r="L765" i="3"/>
  <c r="H764" i="5" s="1"/>
  <c r="L766" i="3"/>
  <c r="H765" i="5" s="1"/>
  <c r="L767" i="3"/>
  <c r="L768" i="3"/>
  <c r="H767" i="5" s="1"/>
  <c r="L769" i="3"/>
  <c r="H768" i="5" s="1"/>
  <c r="L770" i="3"/>
  <c r="H770" i="5" s="1"/>
  <c r="L771" i="3"/>
  <c r="L772" i="3"/>
  <c r="H771" i="5" s="1"/>
  <c r="L773" i="3"/>
  <c r="H773" i="5" s="1"/>
  <c r="L774" i="3"/>
  <c r="L775" i="3"/>
  <c r="L776" i="3"/>
  <c r="L777" i="3"/>
  <c r="H776" i="5" s="1"/>
  <c r="L778" i="3"/>
  <c r="H777" i="5" s="1"/>
  <c r="L779" i="3"/>
  <c r="L780" i="3"/>
  <c r="H779" i="5" s="1"/>
  <c r="L781" i="3"/>
  <c r="L782" i="3"/>
  <c r="L783" i="3"/>
  <c r="H782" i="5" s="1"/>
  <c r="L784" i="3"/>
  <c r="L785" i="3"/>
  <c r="H784" i="5" s="1"/>
  <c r="L786" i="3"/>
  <c r="H786" i="5" s="1"/>
  <c r="L787" i="3"/>
  <c r="L788" i="3"/>
  <c r="L789" i="3"/>
  <c r="H788" i="5" s="1"/>
  <c r="L790" i="3"/>
  <c r="H789" i="5" s="1"/>
  <c r="L791" i="3"/>
  <c r="L792" i="3"/>
  <c r="H791" i="5" s="1"/>
  <c r="L793" i="3"/>
  <c r="L794" i="3"/>
  <c r="L795" i="3"/>
  <c r="H795" i="5" s="1"/>
  <c r="L796" i="3"/>
  <c r="L797" i="3"/>
  <c r="L798" i="3"/>
  <c r="L799" i="3"/>
  <c r="L800" i="3"/>
  <c r="L801" i="3"/>
  <c r="H800" i="5" s="1"/>
  <c r="L802" i="3"/>
  <c r="H801" i="5" s="1"/>
  <c r="L803" i="3"/>
  <c r="L804" i="3"/>
  <c r="H803" i="5" s="1"/>
  <c r="L805" i="3"/>
  <c r="L806" i="3"/>
  <c r="L807" i="3"/>
  <c r="H806" i="5" s="1"/>
  <c r="L808" i="3"/>
  <c r="H807" i="5" s="1"/>
  <c r="L809" i="3"/>
  <c r="H808" i="5" s="1"/>
  <c r="L810" i="3"/>
  <c r="H809" i="5" s="1"/>
  <c r="L811" i="3"/>
  <c r="L812" i="3"/>
  <c r="L813" i="3"/>
  <c r="H812" i="5" s="1"/>
  <c r="L814" i="3"/>
  <c r="H813" i="5" s="1"/>
  <c r="L815" i="3"/>
  <c r="L816" i="3"/>
  <c r="H815" i="5" s="1"/>
  <c r="L817" i="3"/>
  <c r="H816" i="5" s="1"/>
  <c r="L818" i="3"/>
  <c r="H817" i="5" s="1"/>
  <c r="L819" i="3"/>
  <c r="H818" i="5" s="1"/>
  <c r="L820" i="3"/>
  <c r="L821" i="3"/>
  <c r="L822" i="3"/>
  <c r="L823" i="3"/>
  <c r="L824" i="3"/>
  <c r="L825" i="3"/>
  <c r="H824" i="5" s="1"/>
  <c r="L826" i="3"/>
  <c r="H825" i="5" s="1"/>
  <c r="L827" i="3"/>
  <c r="L828" i="3"/>
  <c r="H827" i="5" s="1"/>
  <c r="L829" i="3"/>
  <c r="H828" i="5" s="1"/>
  <c r="L830" i="3"/>
  <c r="H829" i="5" s="1"/>
  <c r="L831" i="3"/>
  <c r="H830" i="5" s="1"/>
  <c r="L832" i="3"/>
  <c r="H831" i="5" s="1"/>
  <c r="L833" i="3"/>
  <c r="L834" i="3"/>
  <c r="L835" i="3"/>
  <c r="L836" i="3"/>
  <c r="H835" i="5" s="1"/>
  <c r="L837" i="3"/>
  <c r="H836" i="5" s="1"/>
  <c r="L838" i="3"/>
  <c r="H837" i="5" s="1"/>
  <c r="L839" i="3"/>
  <c r="L840" i="3"/>
  <c r="H839" i="5" s="1"/>
  <c r="L841" i="3"/>
  <c r="H840" i="5" s="1"/>
  <c r="L842" i="3"/>
  <c r="H841" i="5" s="1"/>
  <c r="L843" i="3"/>
  <c r="H842" i="5" s="1"/>
  <c r="L844" i="3"/>
  <c r="L845" i="3"/>
  <c r="L846" i="3"/>
  <c r="H845" i="5" s="1"/>
  <c r="L847" i="3"/>
  <c r="L848" i="3"/>
  <c r="H847" i="5" s="1"/>
  <c r="L849" i="3"/>
  <c r="L850" i="3"/>
  <c r="H849" i="5" s="1"/>
  <c r="L851" i="3"/>
  <c r="L852" i="3"/>
  <c r="H851" i="5" s="1"/>
  <c r="L853" i="3"/>
  <c r="H852" i="5" s="1"/>
  <c r="L854" i="3"/>
  <c r="L855" i="3"/>
  <c r="L856" i="3"/>
  <c r="H855" i="5" s="1"/>
  <c r="L857" i="3"/>
  <c r="L858" i="3"/>
  <c r="L859" i="3"/>
  <c r="L860" i="3"/>
  <c r="H859" i="5" s="1"/>
  <c r="L861" i="3"/>
  <c r="H860" i="5" s="1"/>
  <c r="L862" i="3"/>
  <c r="H861" i="5" s="1"/>
  <c r="L863" i="3"/>
  <c r="L864" i="3"/>
  <c r="H863" i="5" s="1"/>
  <c r="L865" i="3"/>
  <c r="H864" i="5" s="1"/>
  <c r="L866" i="3"/>
  <c r="H865" i="5" s="1"/>
  <c r="L867" i="3"/>
  <c r="L868" i="3"/>
  <c r="H867" i="5" s="1"/>
  <c r="L869" i="3"/>
  <c r="H868" i="5" s="1"/>
  <c r="L870" i="3"/>
  <c r="H869" i="5" s="1"/>
  <c r="L871" i="3"/>
  <c r="L872" i="3"/>
  <c r="L873" i="3"/>
  <c r="L874" i="3"/>
  <c r="H873" i="5" s="1"/>
  <c r="L875" i="3"/>
  <c r="L876" i="3"/>
  <c r="H875" i="5" s="1"/>
  <c r="L877" i="3"/>
  <c r="H876" i="5" s="1"/>
  <c r="L878" i="3"/>
  <c r="H877" i="5" s="1"/>
  <c r="L879" i="3"/>
  <c r="H878" i="5" s="1"/>
  <c r="L880" i="3"/>
  <c r="L881" i="3"/>
  <c r="H881" i="5" s="1"/>
  <c r="L882" i="3"/>
  <c r="H882" i="5" s="1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H9" i="5"/>
  <c r="H25" i="5"/>
  <c r="H49" i="5"/>
  <c r="H55" i="5"/>
  <c r="H61" i="5"/>
  <c r="H103" i="5"/>
  <c r="H175" i="5"/>
  <c r="H176" i="5"/>
  <c r="H211" i="5"/>
  <c r="H212" i="5"/>
  <c r="H217" i="5"/>
  <c r="H259" i="5"/>
  <c r="H289" i="5"/>
  <c r="H301" i="5"/>
  <c r="H331" i="5"/>
  <c r="H366" i="5"/>
  <c r="H427" i="5"/>
  <c r="H439" i="5"/>
  <c r="H469" i="5"/>
  <c r="H493" i="5"/>
  <c r="H500" i="5"/>
  <c r="H523" i="5"/>
  <c r="H529" i="5"/>
  <c r="H541" i="5"/>
  <c r="H547" i="5"/>
  <c r="H548" i="5"/>
  <c r="H583" i="5"/>
  <c r="H613" i="5"/>
  <c r="H667" i="5"/>
  <c r="H680" i="5"/>
  <c r="H709" i="5"/>
  <c r="H715" i="5"/>
  <c r="H769" i="5"/>
  <c r="H848" i="5"/>
  <c r="H871" i="5"/>
  <c r="H872" i="5"/>
  <c r="H843" i="5"/>
  <c r="F844" i="5"/>
  <c r="H844" i="5"/>
  <c r="F845" i="5"/>
  <c r="F873" i="5"/>
  <c r="H15" i="5"/>
  <c r="H50" i="5"/>
  <c r="H74" i="5"/>
  <c r="H75" i="5"/>
  <c r="H76" i="5"/>
  <c r="H77" i="5"/>
  <c r="H80" i="5"/>
  <c r="H99" i="5"/>
  <c r="H127" i="5"/>
  <c r="H128" i="5"/>
  <c r="H146" i="5"/>
  <c r="H158" i="5"/>
  <c r="H163" i="5"/>
  <c r="F168" i="5"/>
  <c r="H193" i="5"/>
  <c r="H230" i="5"/>
  <c r="H260" i="5"/>
  <c r="H269" i="5"/>
  <c r="H278" i="5"/>
  <c r="H279" i="5"/>
  <c r="H283" i="5"/>
  <c r="H295" i="5"/>
  <c r="H338" i="5"/>
  <c r="H340" i="5"/>
  <c r="H362" i="5"/>
  <c r="H374" i="5"/>
  <c r="H389" i="5"/>
  <c r="H390" i="5"/>
  <c r="H409" i="5"/>
  <c r="H422" i="5"/>
  <c r="H441" i="5"/>
  <c r="H446" i="5"/>
  <c r="H447" i="5"/>
  <c r="F448" i="5"/>
  <c r="H484" i="5"/>
  <c r="H485" i="5"/>
  <c r="F508" i="5"/>
  <c r="H518" i="5"/>
  <c r="F544" i="5"/>
  <c r="H554" i="5"/>
  <c r="H557" i="5"/>
  <c r="H569" i="5"/>
  <c r="H578" i="5"/>
  <c r="H582" i="5"/>
  <c r="H596" i="5"/>
  <c r="H638" i="5"/>
  <c r="H652" i="5"/>
  <c r="H665" i="5"/>
  <c r="F666" i="5"/>
  <c r="H674" i="5"/>
  <c r="F676" i="5"/>
  <c r="H722" i="5"/>
  <c r="F736" i="5"/>
  <c r="H739" i="5"/>
  <c r="F748" i="5"/>
  <c r="H751" i="5"/>
  <c r="F754" i="5"/>
  <c r="F784" i="5"/>
  <c r="H794" i="5"/>
  <c r="H799" i="5"/>
  <c r="H819" i="5"/>
  <c r="H820" i="5"/>
  <c r="H821" i="5"/>
  <c r="H834" i="5"/>
  <c r="H896" i="3"/>
  <c r="J896" i="3" s="1"/>
  <c r="K5" i="3"/>
  <c r="K6" i="3"/>
  <c r="K7" i="3"/>
  <c r="F2" i="5" s="1"/>
  <c r="K8" i="3"/>
  <c r="K9" i="3"/>
  <c r="F9" i="5" s="1"/>
  <c r="K10" i="3"/>
  <c r="F10" i="5" s="1"/>
  <c r="K11" i="3"/>
  <c r="F11" i="5" s="1"/>
  <c r="K12" i="3"/>
  <c r="K13" i="3"/>
  <c r="F13" i="5" s="1"/>
  <c r="K14" i="3"/>
  <c r="F14" i="5" s="1"/>
  <c r="K15" i="3"/>
  <c r="F15" i="5" s="1"/>
  <c r="K16" i="3"/>
  <c r="K17" i="3"/>
  <c r="F17" i="5" s="1"/>
  <c r="K18" i="3"/>
  <c r="K19" i="3"/>
  <c r="F18" i="5" s="1"/>
  <c r="K20" i="3"/>
  <c r="K21" i="3"/>
  <c r="F20" i="5" s="1"/>
  <c r="K22" i="3"/>
  <c r="F21" i="5" s="1"/>
  <c r="K23" i="3"/>
  <c r="F22" i="5" s="1"/>
  <c r="K24" i="3"/>
  <c r="K25" i="3"/>
  <c r="F24" i="5" s="1"/>
  <c r="K26" i="3"/>
  <c r="F25" i="5" s="1"/>
  <c r="K27" i="3"/>
  <c r="F26" i="5" s="1"/>
  <c r="K28" i="3"/>
  <c r="K29" i="3"/>
  <c r="F28" i="5" s="1"/>
  <c r="K30" i="3"/>
  <c r="K31" i="3"/>
  <c r="F30" i="5" s="1"/>
  <c r="K32" i="3"/>
  <c r="K33" i="3"/>
  <c r="F32" i="5" s="1"/>
  <c r="K34" i="3"/>
  <c r="F33" i="5" s="1"/>
  <c r="K35" i="3"/>
  <c r="F34" i="5" s="1"/>
  <c r="K36" i="3"/>
  <c r="K37" i="3"/>
  <c r="F36" i="5" s="1"/>
  <c r="K38" i="3"/>
  <c r="F37" i="5" s="1"/>
  <c r="K39" i="3"/>
  <c r="F38" i="5" s="1"/>
  <c r="K40" i="3"/>
  <c r="K41" i="3"/>
  <c r="F40" i="5" s="1"/>
  <c r="K42" i="3"/>
  <c r="K43" i="3"/>
  <c r="F42" i="5" s="1"/>
  <c r="K44" i="3"/>
  <c r="K45" i="3"/>
  <c r="F44" i="5" s="1"/>
  <c r="K46" i="3"/>
  <c r="F45" i="5" s="1"/>
  <c r="K47" i="3"/>
  <c r="F46" i="5" s="1"/>
  <c r="K48" i="3"/>
  <c r="K49" i="3"/>
  <c r="F48" i="5" s="1"/>
  <c r="K50" i="3"/>
  <c r="F49" i="5" s="1"/>
  <c r="K51" i="3"/>
  <c r="F50" i="5" s="1"/>
  <c r="K52" i="3"/>
  <c r="K53" i="3"/>
  <c r="F52" i="5" s="1"/>
  <c r="K54" i="3"/>
  <c r="K55" i="3"/>
  <c r="K56" i="3"/>
  <c r="K57" i="3"/>
  <c r="F56" i="5" s="1"/>
  <c r="K58" i="3"/>
  <c r="F57" i="5" s="1"/>
  <c r="K59" i="3"/>
  <c r="F58" i="5" s="1"/>
  <c r="K60" i="3"/>
  <c r="K61" i="3"/>
  <c r="F60" i="5" s="1"/>
  <c r="K62" i="3"/>
  <c r="F61" i="5" s="1"/>
  <c r="K63" i="3"/>
  <c r="F62" i="5" s="1"/>
  <c r="K64" i="3"/>
  <c r="K65" i="3"/>
  <c r="F64" i="5" s="1"/>
  <c r="K66" i="3"/>
  <c r="K67" i="3"/>
  <c r="F66" i="5" s="1"/>
  <c r="K68" i="3"/>
  <c r="K69" i="3"/>
  <c r="F68" i="5" s="1"/>
  <c r="K70" i="3"/>
  <c r="F69" i="5" s="1"/>
  <c r="K71" i="3"/>
  <c r="F70" i="5" s="1"/>
  <c r="K72" i="3"/>
  <c r="K73" i="3"/>
  <c r="F72" i="5" s="1"/>
  <c r="K74" i="3"/>
  <c r="F73" i="5" s="1"/>
  <c r="K75" i="3"/>
  <c r="F74" i="5" s="1"/>
  <c r="K76" i="3"/>
  <c r="K77" i="3"/>
  <c r="F76" i="5" s="1"/>
  <c r="K78" i="3"/>
  <c r="K79" i="3"/>
  <c r="F78" i="5" s="1"/>
  <c r="K80" i="3"/>
  <c r="K81" i="3"/>
  <c r="F80" i="5" s="1"/>
  <c r="K82" i="3"/>
  <c r="F81" i="5" s="1"/>
  <c r="K83" i="3"/>
  <c r="F82" i="5" s="1"/>
  <c r="K84" i="3"/>
  <c r="K85" i="3"/>
  <c r="F84" i="5" s="1"/>
  <c r="K86" i="3"/>
  <c r="F85" i="5" s="1"/>
  <c r="K87" i="3"/>
  <c r="F86" i="5" s="1"/>
  <c r="K88" i="3"/>
  <c r="K89" i="3"/>
  <c r="F88" i="5" s="1"/>
  <c r="K90" i="3"/>
  <c r="K91" i="3"/>
  <c r="F90" i="5" s="1"/>
  <c r="K92" i="3"/>
  <c r="K93" i="3"/>
  <c r="F92" i="5" s="1"/>
  <c r="K94" i="3"/>
  <c r="F93" i="5" s="1"/>
  <c r="K95" i="3"/>
  <c r="F94" i="5" s="1"/>
  <c r="K96" i="3"/>
  <c r="K97" i="3"/>
  <c r="F96" i="5" s="1"/>
  <c r="K98" i="3"/>
  <c r="F97" i="5" s="1"/>
  <c r="K99" i="3"/>
  <c r="F98" i="5" s="1"/>
  <c r="K100" i="3"/>
  <c r="K101" i="3"/>
  <c r="F100" i="5" s="1"/>
  <c r="K102" i="3"/>
  <c r="K103" i="3"/>
  <c r="F102" i="5" s="1"/>
  <c r="K104" i="3"/>
  <c r="K105" i="3"/>
  <c r="F104" i="5" s="1"/>
  <c r="K106" i="3"/>
  <c r="F105" i="5" s="1"/>
  <c r="K107" i="3"/>
  <c r="F106" i="5" s="1"/>
  <c r="K108" i="3"/>
  <c r="K109" i="3"/>
  <c r="F108" i="5" s="1"/>
  <c r="K110" i="3"/>
  <c r="F109" i="5" s="1"/>
  <c r="K111" i="3"/>
  <c r="F110" i="5" s="1"/>
  <c r="K112" i="3"/>
  <c r="K113" i="3"/>
  <c r="F112" i="5" s="1"/>
  <c r="K114" i="3"/>
  <c r="K115" i="3"/>
  <c r="F114" i="5" s="1"/>
  <c r="K116" i="3"/>
  <c r="K117" i="3"/>
  <c r="F116" i="5" s="1"/>
  <c r="K118" i="3"/>
  <c r="F117" i="5" s="1"/>
  <c r="K119" i="3"/>
  <c r="F118" i="5" s="1"/>
  <c r="K120" i="3"/>
  <c r="K121" i="3"/>
  <c r="F120" i="5" s="1"/>
  <c r="K122" i="3"/>
  <c r="F121" i="5" s="1"/>
  <c r="K123" i="3"/>
  <c r="F122" i="5" s="1"/>
  <c r="K124" i="3"/>
  <c r="K125" i="3"/>
  <c r="F124" i="5" s="1"/>
  <c r="K126" i="3"/>
  <c r="K127" i="3"/>
  <c r="F126" i="5" s="1"/>
  <c r="K128" i="3"/>
  <c r="K129" i="3"/>
  <c r="F128" i="5" s="1"/>
  <c r="K130" i="3"/>
  <c r="F129" i="5" s="1"/>
  <c r="K131" i="3"/>
  <c r="F130" i="5" s="1"/>
  <c r="K132" i="3"/>
  <c r="K133" i="3"/>
  <c r="F132" i="5" s="1"/>
  <c r="K134" i="3"/>
  <c r="F133" i="5" s="1"/>
  <c r="K135" i="3"/>
  <c r="F134" i="5" s="1"/>
  <c r="K136" i="3"/>
  <c r="K137" i="3"/>
  <c r="F136" i="5" s="1"/>
  <c r="K138" i="3"/>
  <c r="K139" i="3"/>
  <c r="F138" i="5" s="1"/>
  <c r="K140" i="3"/>
  <c r="K141" i="3"/>
  <c r="F140" i="5" s="1"/>
  <c r="K142" i="3"/>
  <c r="F141" i="5" s="1"/>
  <c r="K143" i="3"/>
  <c r="F142" i="5" s="1"/>
  <c r="K144" i="3"/>
  <c r="K145" i="3"/>
  <c r="F144" i="5" s="1"/>
  <c r="K146" i="3"/>
  <c r="F145" i="5" s="1"/>
  <c r="K147" i="3"/>
  <c r="F146" i="5" s="1"/>
  <c r="K148" i="3"/>
  <c r="K149" i="3"/>
  <c r="F148" i="5" s="1"/>
  <c r="K150" i="3"/>
  <c r="K151" i="3"/>
  <c r="F150" i="5" s="1"/>
  <c r="K152" i="3"/>
  <c r="K153" i="3"/>
  <c r="F152" i="5" s="1"/>
  <c r="K154" i="3"/>
  <c r="F153" i="5" s="1"/>
  <c r="K155" i="3"/>
  <c r="F154" i="5" s="1"/>
  <c r="K156" i="3"/>
  <c r="K157" i="3"/>
  <c r="F156" i="5" s="1"/>
  <c r="K158" i="3"/>
  <c r="F157" i="5" s="1"/>
  <c r="K159" i="3"/>
  <c r="F158" i="5" s="1"/>
  <c r="K160" i="3"/>
  <c r="K161" i="3"/>
  <c r="F160" i="5" s="1"/>
  <c r="K162" i="3"/>
  <c r="K163" i="3"/>
  <c r="F162" i="5" s="1"/>
  <c r="K164" i="3"/>
  <c r="K165" i="3"/>
  <c r="F164" i="5" s="1"/>
  <c r="K166" i="3"/>
  <c r="F165" i="5" s="1"/>
  <c r="K167" i="3"/>
  <c r="F166" i="5" s="1"/>
  <c r="K168" i="3"/>
  <c r="K169" i="3"/>
  <c r="K170" i="3"/>
  <c r="F169" i="5" s="1"/>
  <c r="K171" i="3"/>
  <c r="F170" i="5" s="1"/>
  <c r="K172" i="3"/>
  <c r="K173" i="3"/>
  <c r="F172" i="5" s="1"/>
  <c r="K174" i="3"/>
  <c r="K175" i="3"/>
  <c r="F174" i="5" s="1"/>
  <c r="K176" i="3"/>
  <c r="K177" i="3"/>
  <c r="F176" i="5" s="1"/>
  <c r="K178" i="3"/>
  <c r="F177" i="5" s="1"/>
  <c r="K179" i="3"/>
  <c r="F178" i="5" s="1"/>
  <c r="K180" i="3"/>
  <c r="K181" i="3"/>
  <c r="F180" i="5" s="1"/>
  <c r="K182" i="3"/>
  <c r="F181" i="5" s="1"/>
  <c r="K183" i="3"/>
  <c r="F182" i="5" s="1"/>
  <c r="K184" i="3"/>
  <c r="K185" i="3"/>
  <c r="F184" i="5" s="1"/>
  <c r="K186" i="3"/>
  <c r="K187" i="3"/>
  <c r="F186" i="5" s="1"/>
  <c r="K188" i="3"/>
  <c r="K189" i="3"/>
  <c r="F188" i="5" s="1"/>
  <c r="K190" i="3"/>
  <c r="F189" i="5" s="1"/>
  <c r="K191" i="3"/>
  <c r="F190" i="5" s="1"/>
  <c r="K192" i="3"/>
  <c r="K193" i="3"/>
  <c r="F192" i="5" s="1"/>
  <c r="K194" i="3"/>
  <c r="F193" i="5" s="1"/>
  <c r="K195" i="3"/>
  <c r="F194" i="5" s="1"/>
  <c r="K196" i="3"/>
  <c r="K197" i="3"/>
  <c r="F196" i="5" s="1"/>
  <c r="K198" i="3"/>
  <c r="K199" i="3"/>
  <c r="F198" i="5" s="1"/>
  <c r="K200" i="3"/>
  <c r="K201" i="3"/>
  <c r="F200" i="5" s="1"/>
  <c r="K202" i="3"/>
  <c r="F201" i="5" s="1"/>
  <c r="K203" i="3"/>
  <c r="F202" i="5" s="1"/>
  <c r="K204" i="3"/>
  <c r="K205" i="3"/>
  <c r="F204" i="5" s="1"/>
  <c r="K206" i="3"/>
  <c r="F205" i="5" s="1"/>
  <c r="K207" i="3"/>
  <c r="F206" i="5" s="1"/>
  <c r="K208" i="3"/>
  <c r="K209" i="3"/>
  <c r="F208" i="5" s="1"/>
  <c r="K210" i="3"/>
  <c r="K211" i="3"/>
  <c r="F210" i="5" s="1"/>
  <c r="K212" i="3"/>
  <c r="K213" i="3"/>
  <c r="F212" i="5" s="1"/>
  <c r="K214" i="3"/>
  <c r="F213" i="5" s="1"/>
  <c r="K215" i="3"/>
  <c r="F214" i="5" s="1"/>
  <c r="K216" i="3"/>
  <c r="K217" i="3"/>
  <c r="F216" i="5" s="1"/>
  <c r="K218" i="3"/>
  <c r="F217" i="5" s="1"/>
  <c r="K219" i="3"/>
  <c r="F218" i="5" s="1"/>
  <c r="K220" i="3"/>
  <c r="K221" i="3"/>
  <c r="F220" i="5" s="1"/>
  <c r="K222" i="3"/>
  <c r="K223" i="3"/>
  <c r="F222" i="5" s="1"/>
  <c r="K224" i="3"/>
  <c r="K225" i="3"/>
  <c r="F224" i="5" s="1"/>
  <c r="K226" i="3"/>
  <c r="F225" i="5" s="1"/>
  <c r="K227" i="3"/>
  <c r="F226" i="5" s="1"/>
  <c r="K228" i="3"/>
  <c r="K229" i="3"/>
  <c r="F228" i="5" s="1"/>
  <c r="K230" i="3"/>
  <c r="F229" i="5" s="1"/>
  <c r="K231" i="3"/>
  <c r="F230" i="5" s="1"/>
  <c r="K232" i="3"/>
  <c r="K233" i="3"/>
  <c r="F232" i="5" s="1"/>
  <c r="K234" i="3"/>
  <c r="K235" i="3"/>
  <c r="F234" i="5" s="1"/>
  <c r="K236" i="3"/>
  <c r="K237" i="3"/>
  <c r="F236" i="5" s="1"/>
  <c r="K238" i="3"/>
  <c r="F237" i="5" s="1"/>
  <c r="K239" i="3"/>
  <c r="F238" i="5" s="1"/>
  <c r="K240" i="3"/>
  <c r="K241" i="3"/>
  <c r="F240" i="5" s="1"/>
  <c r="K242" i="3"/>
  <c r="F241" i="5" s="1"/>
  <c r="K243" i="3"/>
  <c r="F242" i="5" s="1"/>
  <c r="K244" i="3"/>
  <c r="K245" i="3"/>
  <c r="F244" i="5" s="1"/>
  <c r="K246" i="3"/>
  <c r="K247" i="3"/>
  <c r="F246" i="5" s="1"/>
  <c r="K248" i="3"/>
  <c r="K249" i="3"/>
  <c r="F248" i="5" s="1"/>
  <c r="K250" i="3"/>
  <c r="K251" i="3"/>
  <c r="F250" i="5" s="1"/>
  <c r="K252" i="3"/>
  <c r="K253" i="3"/>
  <c r="F252" i="5" s="1"/>
  <c r="K254" i="3"/>
  <c r="F253" i="5" s="1"/>
  <c r="K255" i="3"/>
  <c r="F254" i="5" s="1"/>
  <c r="K256" i="3"/>
  <c r="K257" i="3"/>
  <c r="F256" i="5" s="1"/>
  <c r="K258" i="3"/>
  <c r="K259" i="3"/>
  <c r="F258" i="5" s="1"/>
  <c r="K260" i="3"/>
  <c r="K261" i="3"/>
  <c r="F260" i="5" s="1"/>
  <c r="K262" i="3"/>
  <c r="F261" i="5" s="1"/>
  <c r="K263" i="3"/>
  <c r="F262" i="5" s="1"/>
  <c r="K264" i="3"/>
  <c r="K265" i="3"/>
  <c r="F264" i="5" s="1"/>
  <c r="K266" i="3"/>
  <c r="F265" i="5" s="1"/>
  <c r="K267" i="3"/>
  <c r="F266" i="5" s="1"/>
  <c r="K268" i="3"/>
  <c r="K269" i="3"/>
  <c r="F268" i="5" s="1"/>
  <c r="K270" i="3"/>
  <c r="K271" i="3"/>
  <c r="F270" i="5" s="1"/>
  <c r="K272" i="3"/>
  <c r="K273" i="3"/>
  <c r="F272" i="5" s="1"/>
  <c r="K274" i="3"/>
  <c r="F273" i="5" s="1"/>
  <c r="K275" i="3"/>
  <c r="F274" i="5" s="1"/>
  <c r="K276" i="3"/>
  <c r="K277" i="3"/>
  <c r="F276" i="5" s="1"/>
  <c r="K278" i="3"/>
  <c r="F277" i="5" s="1"/>
  <c r="K279" i="3"/>
  <c r="F278" i="5" s="1"/>
  <c r="K280" i="3"/>
  <c r="K281" i="3"/>
  <c r="F280" i="5" s="1"/>
  <c r="K282" i="3"/>
  <c r="K283" i="3"/>
  <c r="F282" i="5" s="1"/>
  <c r="K284" i="3"/>
  <c r="K285" i="3"/>
  <c r="F284" i="5" s="1"/>
  <c r="K286" i="3"/>
  <c r="F285" i="5" s="1"/>
  <c r="K287" i="3"/>
  <c r="F286" i="5" s="1"/>
  <c r="K288" i="3"/>
  <c r="K289" i="3"/>
  <c r="F288" i="5" s="1"/>
  <c r="K290" i="3"/>
  <c r="F289" i="5" s="1"/>
  <c r="K291" i="3"/>
  <c r="F290" i="5" s="1"/>
  <c r="K292" i="3"/>
  <c r="K293" i="3"/>
  <c r="F292" i="5" s="1"/>
  <c r="K294" i="3"/>
  <c r="K295" i="3"/>
  <c r="F294" i="5" s="1"/>
  <c r="K296" i="3"/>
  <c r="K297" i="3"/>
  <c r="F296" i="5" s="1"/>
  <c r="K298" i="3"/>
  <c r="F297" i="5" s="1"/>
  <c r="K299" i="3"/>
  <c r="F298" i="5" s="1"/>
  <c r="K300" i="3"/>
  <c r="K301" i="3"/>
  <c r="F300" i="5" s="1"/>
  <c r="K302" i="3"/>
  <c r="F301" i="5" s="1"/>
  <c r="K303" i="3"/>
  <c r="F302" i="5" s="1"/>
  <c r="K304" i="3"/>
  <c r="K305" i="3"/>
  <c r="F304" i="5" s="1"/>
  <c r="K306" i="3"/>
  <c r="K307" i="3"/>
  <c r="F306" i="5" s="1"/>
  <c r="K308" i="3"/>
  <c r="K309" i="3"/>
  <c r="F308" i="5" s="1"/>
  <c r="K310" i="3"/>
  <c r="F309" i="5" s="1"/>
  <c r="K311" i="3"/>
  <c r="F310" i="5" s="1"/>
  <c r="K312" i="3"/>
  <c r="K313" i="3"/>
  <c r="F312" i="5" s="1"/>
  <c r="K314" i="3"/>
  <c r="F313" i="5" s="1"/>
  <c r="K315" i="3"/>
  <c r="F314" i="5" s="1"/>
  <c r="K316" i="3"/>
  <c r="K317" i="3"/>
  <c r="F316" i="5" s="1"/>
  <c r="K318" i="3"/>
  <c r="K319" i="3"/>
  <c r="F318" i="5" s="1"/>
  <c r="K320" i="3"/>
  <c r="K321" i="3"/>
  <c r="F320" i="5" s="1"/>
  <c r="K322" i="3"/>
  <c r="F321" i="5" s="1"/>
  <c r="K323" i="3"/>
  <c r="F322" i="5" s="1"/>
  <c r="K324" i="3"/>
  <c r="K325" i="3"/>
  <c r="F324" i="5" s="1"/>
  <c r="K326" i="3"/>
  <c r="F325" i="5" s="1"/>
  <c r="K327" i="3"/>
  <c r="F326" i="5" s="1"/>
  <c r="K328" i="3"/>
  <c r="K329" i="3"/>
  <c r="F328" i="5" s="1"/>
  <c r="K330" i="3"/>
  <c r="K331" i="3"/>
  <c r="F330" i="5" s="1"/>
  <c r="K332" i="3"/>
  <c r="K333" i="3"/>
  <c r="F332" i="5" s="1"/>
  <c r="K334" i="3"/>
  <c r="F333" i="5" s="1"/>
  <c r="K335" i="3"/>
  <c r="F334" i="5" s="1"/>
  <c r="K336" i="3"/>
  <c r="K337" i="3"/>
  <c r="F336" i="5" s="1"/>
  <c r="K338" i="3"/>
  <c r="F337" i="5" s="1"/>
  <c r="K339" i="3"/>
  <c r="F338" i="5" s="1"/>
  <c r="K340" i="3"/>
  <c r="K341" i="3"/>
  <c r="F340" i="5" s="1"/>
  <c r="K342" i="3"/>
  <c r="K343" i="3"/>
  <c r="F342" i="5" s="1"/>
  <c r="K344" i="3"/>
  <c r="K345" i="3"/>
  <c r="F344" i="5" s="1"/>
  <c r="K346" i="3"/>
  <c r="F345" i="5" s="1"/>
  <c r="K347" i="3"/>
  <c r="F346" i="5" s="1"/>
  <c r="K348" i="3"/>
  <c r="K349" i="3"/>
  <c r="F348" i="5" s="1"/>
  <c r="K350" i="3"/>
  <c r="F349" i="5" s="1"/>
  <c r="K351" i="3"/>
  <c r="F350" i="5" s="1"/>
  <c r="K352" i="3"/>
  <c r="K353" i="3"/>
  <c r="F352" i="5" s="1"/>
  <c r="K354" i="3"/>
  <c r="K355" i="3"/>
  <c r="F354" i="5" s="1"/>
  <c r="K356" i="3"/>
  <c r="K357" i="3"/>
  <c r="F356" i="5" s="1"/>
  <c r="K358" i="3"/>
  <c r="F357" i="5" s="1"/>
  <c r="K359" i="3"/>
  <c r="F358" i="5" s="1"/>
  <c r="K360" i="3"/>
  <c r="K361" i="3"/>
  <c r="F360" i="5" s="1"/>
  <c r="K362" i="3"/>
  <c r="F361" i="5" s="1"/>
  <c r="K363" i="3"/>
  <c r="F362" i="5" s="1"/>
  <c r="K364" i="3"/>
  <c r="K365" i="3"/>
  <c r="F364" i="5" s="1"/>
  <c r="K366" i="3"/>
  <c r="K367" i="3"/>
  <c r="F366" i="5" s="1"/>
  <c r="K368" i="3"/>
  <c r="K369" i="3"/>
  <c r="F368" i="5" s="1"/>
  <c r="K370" i="3"/>
  <c r="F369" i="5" s="1"/>
  <c r="K371" i="3"/>
  <c r="F370" i="5" s="1"/>
  <c r="K372" i="3"/>
  <c r="K373" i="3"/>
  <c r="F372" i="5" s="1"/>
  <c r="K374" i="3"/>
  <c r="F373" i="5" s="1"/>
  <c r="K375" i="3"/>
  <c r="F374" i="5" s="1"/>
  <c r="K376" i="3"/>
  <c r="K377" i="3"/>
  <c r="F376" i="5" s="1"/>
  <c r="K378" i="3"/>
  <c r="K379" i="3"/>
  <c r="F378" i="5" s="1"/>
  <c r="K380" i="3"/>
  <c r="K381" i="3"/>
  <c r="F380" i="5" s="1"/>
  <c r="K382" i="3"/>
  <c r="F381" i="5" s="1"/>
  <c r="K383" i="3"/>
  <c r="F382" i="5" s="1"/>
  <c r="K384" i="3"/>
  <c r="K385" i="3"/>
  <c r="F384" i="5" s="1"/>
  <c r="K386" i="3"/>
  <c r="F385" i="5" s="1"/>
  <c r="K387" i="3"/>
  <c r="F386" i="5" s="1"/>
  <c r="K388" i="3"/>
  <c r="K389" i="3"/>
  <c r="F388" i="5" s="1"/>
  <c r="K390" i="3"/>
  <c r="K391" i="3"/>
  <c r="F390" i="5" s="1"/>
  <c r="K392" i="3"/>
  <c r="K393" i="3"/>
  <c r="F392" i="5" s="1"/>
  <c r="K394" i="3"/>
  <c r="F393" i="5" s="1"/>
  <c r="K395" i="3"/>
  <c r="F394" i="5" s="1"/>
  <c r="K396" i="3"/>
  <c r="K397" i="3"/>
  <c r="F396" i="5" s="1"/>
  <c r="K398" i="3"/>
  <c r="F397" i="5" s="1"/>
  <c r="K399" i="3"/>
  <c r="F398" i="5" s="1"/>
  <c r="K400" i="3"/>
  <c r="K401" i="3"/>
  <c r="K402" i="3"/>
  <c r="K403" i="3"/>
  <c r="F402" i="5" s="1"/>
  <c r="K404" i="3"/>
  <c r="K405" i="3"/>
  <c r="F404" i="5" s="1"/>
  <c r="K406" i="3"/>
  <c r="F405" i="5" s="1"/>
  <c r="K407" i="3"/>
  <c r="F406" i="5" s="1"/>
  <c r="K408" i="3"/>
  <c r="K409" i="3"/>
  <c r="F408" i="5" s="1"/>
  <c r="K410" i="3"/>
  <c r="F409" i="5" s="1"/>
  <c r="K411" i="3"/>
  <c r="F410" i="5" s="1"/>
  <c r="K412" i="3"/>
  <c r="K413" i="3"/>
  <c r="F412" i="5" s="1"/>
  <c r="K414" i="3"/>
  <c r="K415" i="3"/>
  <c r="F414" i="5" s="1"/>
  <c r="K416" i="3"/>
  <c r="K417" i="3"/>
  <c r="F416" i="5" s="1"/>
  <c r="K418" i="3"/>
  <c r="F417" i="5" s="1"/>
  <c r="K419" i="3"/>
  <c r="F418" i="5" s="1"/>
  <c r="K420" i="3"/>
  <c r="K421" i="3"/>
  <c r="F420" i="5" s="1"/>
  <c r="K422" i="3"/>
  <c r="F421" i="5" s="1"/>
  <c r="K423" i="3"/>
  <c r="F422" i="5" s="1"/>
  <c r="K424" i="3"/>
  <c r="K425" i="3"/>
  <c r="F424" i="5" s="1"/>
  <c r="K426" i="3"/>
  <c r="K427" i="3"/>
  <c r="F426" i="5" s="1"/>
  <c r="K428" i="3"/>
  <c r="K429" i="3"/>
  <c r="F428" i="5" s="1"/>
  <c r="K430" i="3"/>
  <c r="F429" i="5" s="1"/>
  <c r="K431" i="3"/>
  <c r="F430" i="5" s="1"/>
  <c r="K432" i="3"/>
  <c r="K433" i="3"/>
  <c r="F432" i="5" s="1"/>
  <c r="K434" i="3"/>
  <c r="F433" i="5" s="1"/>
  <c r="K435" i="3"/>
  <c r="F434" i="5" s="1"/>
  <c r="K436" i="3"/>
  <c r="K437" i="3"/>
  <c r="F436" i="5" s="1"/>
  <c r="K438" i="3"/>
  <c r="K439" i="3"/>
  <c r="F438" i="5" s="1"/>
  <c r="K440" i="3"/>
  <c r="K441" i="3"/>
  <c r="F440" i="5" s="1"/>
  <c r="K442" i="3"/>
  <c r="F441" i="5" s="1"/>
  <c r="K443" i="3"/>
  <c r="F442" i="5" s="1"/>
  <c r="K444" i="3"/>
  <c r="K445" i="3"/>
  <c r="F444" i="5" s="1"/>
  <c r="K446" i="3"/>
  <c r="F445" i="5" s="1"/>
  <c r="K447" i="3"/>
  <c r="F446" i="5" s="1"/>
  <c r="K448" i="3"/>
  <c r="K449" i="3"/>
  <c r="K450" i="3"/>
  <c r="K451" i="3"/>
  <c r="F450" i="5" s="1"/>
  <c r="K452" i="3"/>
  <c r="K453" i="3"/>
  <c r="F452" i="5" s="1"/>
  <c r="K454" i="3"/>
  <c r="F453" i="5" s="1"/>
  <c r="K455" i="3"/>
  <c r="F454" i="5" s="1"/>
  <c r="K456" i="3"/>
  <c r="K457" i="3"/>
  <c r="F456" i="5" s="1"/>
  <c r="K458" i="3"/>
  <c r="F457" i="5" s="1"/>
  <c r="K459" i="3"/>
  <c r="F458" i="5" s="1"/>
  <c r="K460" i="3"/>
  <c r="K461" i="3"/>
  <c r="F460" i="5" s="1"/>
  <c r="K462" i="3"/>
  <c r="K463" i="3"/>
  <c r="F462" i="5" s="1"/>
  <c r="K464" i="3"/>
  <c r="K465" i="3"/>
  <c r="F464" i="5" s="1"/>
  <c r="K466" i="3"/>
  <c r="F465" i="5" s="1"/>
  <c r="K467" i="3"/>
  <c r="F466" i="5" s="1"/>
  <c r="K468" i="3"/>
  <c r="K469" i="3"/>
  <c r="F468" i="5" s="1"/>
  <c r="K470" i="3"/>
  <c r="F469" i="5" s="1"/>
  <c r="K471" i="3"/>
  <c r="F470" i="5" s="1"/>
  <c r="K472" i="3"/>
  <c r="K473" i="3"/>
  <c r="F472" i="5" s="1"/>
  <c r="K474" i="3"/>
  <c r="K475" i="3"/>
  <c r="F474" i="5" s="1"/>
  <c r="K476" i="3"/>
  <c r="K477" i="3"/>
  <c r="F476" i="5" s="1"/>
  <c r="K478" i="3"/>
  <c r="K479" i="3"/>
  <c r="K480" i="3"/>
  <c r="K481" i="3"/>
  <c r="F480" i="5" s="1"/>
  <c r="K482" i="3"/>
  <c r="F481" i="5" s="1"/>
  <c r="K483" i="3"/>
  <c r="F482" i="5" s="1"/>
  <c r="K484" i="3"/>
  <c r="K485" i="3"/>
  <c r="F484" i="5" s="1"/>
  <c r="K486" i="3"/>
  <c r="K487" i="3"/>
  <c r="F486" i="5" s="1"/>
  <c r="K488" i="3"/>
  <c r="K489" i="3"/>
  <c r="F488" i="5" s="1"/>
  <c r="K490" i="3"/>
  <c r="F489" i="5" s="1"/>
  <c r="K491" i="3"/>
  <c r="F490" i="5" s="1"/>
  <c r="K492" i="3"/>
  <c r="K493" i="3"/>
  <c r="F492" i="5" s="1"/>
  <c r="K494" i="3"/>
  <c r="F493" i="5" s="1"/>
  <c r="K495" i="3"/>
  <c r="F494" i="5" s="1"/>
  <c r="K496" i="3"/>
  <c r="K497" i="3"/>
  <c r="F496" i="5" s="1"/>
  <c r="K498" i="3"/>
  <c r="K499" i="3"/>
  <c r="F498" i="5" s="1"/>
  <c r="K500" i="3"/>
  <c r="K501" i="3"/>
  <c r="F500" i="5" s="1"/>
  <c r="K502" i="3"/>
  <c r="F501" i="5" s="1"/>
  <c r="K503" i="3"/>
  <c r="F502" i="5" s="1"/>
  <c r="K504" i="3"/>
  <c r="K505" i="3"/>
  <c r="F504" i="5" s="1"/>
  <c r="K506" i="3"/>
  <c r="F505" i="5" s="1"/>
  <c r="K507" i="3"/>
  <c r="F506" i="5" s="1"/>
  <c r="K508" i="3"/>
  <c r="K509" i="3"/>
  <c r="K510" i="3"/>
  <c r="K511" i="3"/>
  <c r="F510" i="5" s="1"/>
  <c r="K512" i="3"/>
  <c r="K513" i="3"/>
  <c r="F512" i="5" s="1"/>
  <c r="K514" i="3"/>
  <c r="F513" i="5" s="1"/>
  <c r="K515" i="3"/>
  <c r="F514" i="5" s="1"/>
  <c r="K516" i="3"/>
  <c r="K517" i="3"/>
  <c r="F516" i="5" s="1"/>
  <c r="K518" i="3"/>
  <c r="F517" i="5" s="1"/>
  <c r="K519" i="3"/>
  <c r="F518" i="5" s="1"/>
  <c r="K520" i="3"/>
  <c r="K521" i="3"/>
  <c r="F520" i="5" s="1"/>
  <c r="K522" i="3"/>
  <c r="K523" i="3"/>
  <c r="F522" i="5" s="1"/>
  <c r="K524" i="3"/>
  <c r="K525" i="3"/>
  <c r="F524" i="5" s="1"/>
  <c r="K526" i="3"/>
  <c r="F525" i="5" s="1"/>
  <c r="K527" i="3"/>
  <c r="F526" i="5" s="1"/>
  <c r="K528" i="3"/>
  <c r="K529" i="3"/>
  <c r="F528" i="5" s="1"/>
  <c r="K530" i="3"/>
  <c r="F529" i="5" s="1"/>
  <c r="K531" i="3"/>
  <c r="F530" i="5" s="1"/>
  <c r="K532" i="3"/>
  <c r="K533" i="3"/>
  <c r="F532" i="5" s="1"/>
  <c r="K534" i="3"/>
  <c r="K535" i="3"/>
  <c r="F534" i="5" s="1"/>
  <c r="K536" i="3"/>
  <c r="K537" i="3"/>
  <c r="F536" i="5" s="1"/>
  <c r="K538" i="3"/>
  <c r="F537" i="5" s="1"/>
  <c r="K539" i="3"/>
  <c r="F538" i="5" s="1"/>
  <c r="K540" i="3"/>
  <c r="K541" i="3"/>
  <c r="F540" i="5" s="1"/>
  <c r="K542" i="3"/>
  <c r="F541" i="5" s="1"/>
  <c r="K543" i="3"/>
  <c r="F542" i="5" s="1"/>
  <c r="K544" i="3"/>
  <c r="K545" i="3"/>
  <c r="K546" i="3"/>
  <c r="K547" i="3"/>
  <c r="F546" i="5" s="1"/>
  <c r="K548" i="3"/>
  <c r="K549" i="3"/>
  <c r="F548" i="5" s="1"/>
  <c r="K550" i="3"/>
  <c r="F549" i="5" s="1"/>
  <c r="K551" i="3"/>
  <c r="F550" i="5" s="1"/>
  <c r="K552" i="3"/>
  <c r="K553" i="3"/>
  <c r="F552" i="5" s="1"/>
  <c r="K554" i="3"/>
  <c r="F553" i="5" s="1"/>
  <c r="K555" i="3"/>
  <c r="F554" i="5" s="1"/>
  <c r="K556" i="3"/>
  <c r="K557" i="3"/>
  <c r="F556" i="5" s="1"/>
  <c r="K558" i="3"/>
  <c r="K559" i="3"/>
  <c r="F558" i="5" s="1"/>
  <c r="K560" i="3"/>
  <c r="K561" i="3"/>
  <c r="F560" i="5" s="1"/>
  <c r="K562" i="3"/>
  <c r="F561" i="5" s="1"/>
  <c r="K563" i="3"/>
  <c r="F562" i="5" s="1"/>
  <c r="K564" i="3"/>
  <c r="K565" i="3"/>
  <c r="F564" i="5" s="1"/>
  <c r="K566" i="3"/>
  <c r="F565" i="5" s="1"/>
  <c r="K567" i="3"/>
  <c r="F566" i="5" s="1"/>
  <c r="K568" i="3"/>
  <c r="K569" i="3"/>
  <c r="F568" i="5" s="1"/>
  <c r="K570" i="3"/>
  <c r="K571" i="3"/>
  <c r="F570" i="5" s="1"/>
  <c r="K572" i="3"/>
  <c r="K573" i="3"/>
  <c r="F572" i="5" s="1"/>
  <c r="K574" i="3"/>
  <c r="F573" i="5" s="1"/>
  <c r="K575" i="3"/>
  <c r="F574" i="5" s="1"/>
  <c r="K576" i="3"/>
  <c r="K577" i="3"/>
  <c r="F576" i="5" s="1"/>
  <c r="K578" i="3"/>
  <c r="F577" i="5" s="1"/>
  <c r="K579" i="3"/>
  <c r="F578" i="5" s="1"/>
  <c r="K580" i="3"/>
  <c r="K581" i="3"/>
  <c r="F580" i="5" s="1"/>
  <c r="K582" i="3"/>
  <c r="K583" i="3"/>
  <c r="F582" i="5" s="1"/>
  <c r="K584" i="3"/>
  <c r="K585" i="3"/>
  <c r="F584" i="5" s="1"/>
  <c r="K586" i="3"/>
  <c r="F585" i="5" s="1"/>
  <c r="K587" i="3"/>
  <c r="F586" i="5" s="1"/>
  <c r="K588" i="3"/>
  <c r="K589" i="3"/>
  <c r="F588" i="5" s="1"/>
  <c r="K590" i="3"/>
  <c r="F589" i="5" s="1"/>
  <c r="K591" i="3"/>
  <c r="F590" i="5" s="1"/>
  <c r="K592" i="3"/>
  <c r="K593" i="3"/>
  <c r="F592" i="5" s="1"/>
  <c r="K594" i="3"/>
  <c r="K595" i="3"/>
  <c r="F594" i="5" s="1"/>
  <c r="K596" i="3"/>
  <c r="K597" i="3"/>
  <c r="F596" i="5" s="1"/>
  <c r="K598" i="3"/>
  <c r="F597" i="5" s="1"/>
  <c r="K599" i="3"/>
  <c r="F598" i="5" s="1"/>
  <c r="K600" i="3"/>
  <c r="K601" i="3"/>
  <c r="F600" i="5" s="1"/>
  <c r="K602" i="3"/>
  <c r="F601" i="5" s="1"/>
  <c r="K603" i="3"/>
  <c r="F602" i="5" s="1"/>
  <c r="K604" i="3"/>
  <c r="K605" i="3"/>
  <c r="F604" i="5" s="1"/>
  <c r="K606" i="3"/>
  <c r="K607" i="3"/>
  <c r="F606" i="5" s="1"/>
  <c r="K608" i="3"/>
  <c r="K609" i="3"/>
  <c r="F608" i="5" s="1"/>
  <c r="K610" i="3"/>
  <c r="K611" i="3"/>
  <c r="K612" i="3"/>
  <c r="K613" i="3"/>
  <c r="F612" i="5" s="1"/>
  <c r="K614" i="3"/>
  <c r="F613" i="5" s="1"/>
  <c r="K615" i="3"/>
  <c r="F614" i="5" s="1"/>
  <c r="K616" i="3"/>
  <c r="K617" i="3"/>
  <c r="F616" i="5" s="1"/>
  <c r="K618" i="3"/>
  <c r="K619" i="3"/>
  <c r="F618" i="5" s="1"/>
  <c r="K620" i="3"/>
  <c r="K621" i="3"/>
  <c r="F620" i="5" s="1"/>
  <c r="K622" i="3"/>
  <c r="F621" i="5" s="1"/>
  <c r="K623" i="3"/>
  <c r="F622" i="5" s="1"/>
  <c r="K624" i="3"/>
  <c r="K625" i="3"/>
  <c r="F624" i="5" s="1"/>
  <c r="K626" i="3"/>
  <c r="F625" i="5" s="1"/>
  <c r="K627" i="3"/>
  <c r="F626" i="5" s="1"/>
  <c r="K628" i="3"/>
  <c r="K629" i="3"/>
  <c r="F628" i="5" s="1"/>
  <c r="K630" i="3"/>
  <c r="K631" i="3"/>
  <c r="F630" i="5" s="1"/>
  <c r="K632" i="3"/>
  <c r="K633" i="3"/>
  <c r="F632" i="5" s="1"/>
  <c r="K634" i="3"/>
  <c r="F633" i="5" s="1"/>
  <c r="K635" i="3"/>
  <c r="F634" i="5" s="1"/>
  <c r="K636" i="3"/>
  <c r="K637" i="3"/>
  <c r="F636" i="5" s="1"/>
  <c r="K638" i="3"/>
  <c r="F637" i="5" s="1"/>
  <c r="K639" i="3"/>
  <c r="F638" i="5" s="1"/>
  <c r="K640" i="3"/>
  <c r="K641" i="3"/>
  <c r="F640" i="5" s="1"/>
  <c r="K642" i="3"/>
  <c r="K643" i="3"/>
  <c r="F642" i="5" s="1"/>
  <c r="K644" i="3"/>
  <c r="K645" i="3"/>
  <c r="F644" i="5" s="1"/>
  <c r="K646" i="3"/>
  <c r="F645" i="5" s="1"/>
  <c r="K647" i="3"/>
  <c r="F646" i="5" s="1"/>
  <c r="K648" i="3"/>
  <c r="K649" i="3"/>
  <c r="F648" i="5" s="1"/>
  <c r="K650" i="3"/>
  <c r="F649" i="5" s="1"/>
  <c r="K651" i="3"/>
  <c r="F650" i="5" s="1"/>
  <c r="K652" i="3"/>
  <c r="K653" i="3"/>
  <c r="F652" i="5" s="1"/>
  <c r="K654" i="3"/>
  <c r="K655" i="3"/>
  <c r="F654" i="5" s="1"/>
  <c r="K656" i="3"/>
  <c r="K657" i="3"/>
  <c r="F656" i="5" s="1"/>
  <c r="K658" i="3"/>
  <c r="F657" i="5" s="1"/>
  <c r="K659" i="3"/>
  <c r="F658" i="5" s="1"/>
  <c r="K660" i="3"/>
  <c r="K661" i="3"/>
  <c r="F660" i="5" s="1"/>
  <c r="K662" i="3"/>
  <c r="F661" i="5" s="1"/>
  <c r="K663" i="3"/>
  <c r="F662" i="5" s="1"/>
  <c r="K664" i="3"/>
  <c r="K665" i="3"/>
  <c r="F664" i="5" s="1"/>
  <c r="K666" i="3"/>
  <c r="F665" i="5" s="1"/>
  <c r="K667" i="3"/>
  <c r="K668" i="3"/>
  <c r="K669" i="3"/>
  <c r="F668" i="5" s="1"/>
  <c r="K670" i="3"/>
  <c r="F669" i="5" s="1"/>
  <c r="K671" i="3"/>
  <c r="F670" i="5" s="1"/>
  <c r="K672" i="3"/>
  <c r="K673" i="3"/>
  <c r="F672" i="5" s="1"/>
  <c r="K674" i="3"/>
  <c r="F673" i="5" s="1"/>
  <c r="K675" i="3"/>
  <c r="F674" i="5" s="1"/>
  <c r="K676" i="3"/>
  <c r="K677" i="3"/>
  <c r="K678" i="3"/>
  <c r="F677" i="5" s="1"/>
  <c r="K679" i="3"/>
  <c r="F678" i="5" s="1"/>
  <c r="K680" i="3"/>
  <c r="K681" i="3"/>
  <c r="F680" i="5" s="1"/>
  <c r="K682" i="3"/>
  <c r="F681" i="5" s="1"/>
  <c r="K683" i="3"/>
  <c r="F682" i="5" s="1"/>
  <c r="K684" i="3"/>
  <c r="K685" i="3"/>
  <c r="F684" i="5" s="1"/>
  <c r="K686" i="3"/>
  <c r="F685" i="5" s="1"/>
  <c r="K687" i="3"/>
  <c r="F686" i="5" s="1"/>
  <c r="K688" i="3"/>
  <c r="K689" i="3"/>
  <c r="F688" i="5" s="1"/>
  <c r="K690" i="3"/>
  <c r="F689" i="5" s="1"/>
  <c r="K691" i="3"/>
  <c r="F690" i="5" s="1"/>
  <c r="K692" i="3"/>
  <c r="K693" i="3"/>
  <c r="F692" i="5" s="1"/>
  <c r="K694" i="3"/>
  <c r="F693" i="5" s="1"/>
  <c r="K695" i="3"/>
  <c r="F694" i="5" s="1"/>
  <c r="K696" i="3"/>
  <c r="K697" i="3"/>
  <c r="F696" i="5" s="1"/>
  <c r="K698" i="3"/>
  <c r="F697" i="5" s="1"/>
  <c r="K699" i="3"/>
  <c r="F698" i="5" s="1"/>
  <c r="K700" i="3"/>
  <c r="K701" i="3"/>
  <c r="K702" i="3"/>
  <c r="F701" i="5" s="1"/>
  <c r="K703" i="3"/>
  <c r="F702" i="5" s="1"/>
  <c r="K704" i="3"/>
  <c r="K705" i="3"/>
  <c r="F704" i="5" s="1"/>
  <c r="K706" i="3"/>
  <c r="F705" i="5" s="1"/>
  <c r="K707" i="3"/>
  <c r="F706" i="5" s="1"/>
  <c r="K708" i="3"/>
  <c r="K709" i="3"/>
  <c r="F708" i="5" s="1"/>
  <c r="K710" i="3"/>
  <c r="F709" i="5" s="1"/>
  <c r="K711" i="3"/>
  <c r="F710" i="5" s="1"/>
  <c r="K712" i="3"/>
  <c r="K713" i="3"/>
  <c r="F712" i="5" s="1"/>
  <c r="K714" i="3"/>
  <c r="F713" i="5" s="1"/>
  <c r="K715" i="3"/>
  <c r="F714" i="5" s="1"/>
  <c r="K716" i="3"/>
  <c r="K717" i="3"/>
  <c r="F716" i="5" s="1"/>
  <c r="K718" i="3"/>
  <c r="F717" i="5" s="1"/>
  <c r="K719" i="3"/>
  <c r="F718" i="5" s="1"/>
  <c r="K720" i="3"/>
  <c r="K721" i="3"/>
  <c r="F720" i="5" s="1"/>
  <c r="K722" i="3"/>
  <c r="F721" i="5" s="1"/>
  <c r="K723" i="3"/>
  <c r="F722" i="5" s="1"/>
  <c r="K724" i="3"/>
  <c r="K725" i="3"/>
  <c r="F724" i="5" s="1"/>
  <c r="K726" i="3"/>
  <c r="F725" i="5" s="1"/>
  <c r="K727" i="3"/>
  <c r="F726" i="5" s="1"/>
  <c r="K728" i="3"/>
  <c r="K729" i="3"/>
  <c r="F728" i="5" s="1"/>
  <c r="K730" i="3"/>
  <c r="F729" i="5" s="1"/>
  <c r="K731" i="3"/>
  <c r="F730" i="5" s="1"/>
  <c r="K732" i="3"/>
  <c r="K733" i="3"/>
  <c r="F732" i="5" s="1"/>
  <c r="K734" i="3"/>
  <c r="F733" i="5" s="1"/>
  <c r="K735" i="3"/>
  <c r="F734" i="5" s="1"/>
  <c r="K736" i="3"/>
  <c r="K737" i="3"/>
  <c r="K738" i="3"/>
  <c r="F737" i="5" s="1"/>
  <c r="K739" i="3"/>
  <c r="F738" i="5" s="1"/>
  <c r="K740" i="3"/>
  <c r="K741" i="3"/>
  <c r="F740" i="5" s="1"/>
  <c r="K742" i="3"/>
  <c r="F741" i="5" s="1"/>
  <c r="K743" i="3"/>
  <c r="F742" i="5" s="1"/>
  <c r="K744" i="3"/>
  <c r="K745" i="3"/>
  <c r="F744" i="5" s="1"/>
  <c r="K746" i="3"/>
  <c r="F745" i="5" s="1"/>
  <c r="K747" i="3"/>
  <c r="F746" i="5" s="1"/>
  <c r="K748" i="3"/>
  <c r="K749" i="3"/>
  <c r="K750" i="3"/>
  <c r="F749" i="5" s="1"/>
  <c r="K751" i="3"/>
  <c r="F750" i="5" s="1"/>
  <c r="K752" i="3"/>
  <c r="K753" i="3"/>
  <c r="F752" i="5" s="1"/>
  <c r="K754" i="3"/>
  <c r="F753" i="5" s="1"/>
  <c r="K755" i="3"/>
  <c r="K756" i="3"/>
  <c r="K757" i="3"/>
  <c r="F756" i="5" s="1"/>
  <c r="K758" i="3"/>
  <c r="F757" i="5" s="1"/>
  <c r="K759" i="3"/>
  <c r="F758" i="5" s="1"/>
  <c r="K760" i="3"/>
  <c r="K761" i="3"/>
  <c r="F760" i="5" s="1"/>
  <c r="K762" i="3"/>
  <c r="F761" i="5" s="1"/>
  <c r="K763" i="3"/>
  <c r="F762" i="5" s="1"/>
  <c r="K764" i="3"/>
  <c r="K765" i="3"/>
  <c r="F764" i="5" s="1"/>
  <c r="K766" i="3"/>
  <c r="F765" i="5" s="1"/>
  <c r="K767" i="3"/>
  <c r="F766" i="5" s="1"/>
  <c r="K768" i="3"/>
  <c r="K769" i="3"/>
  <c r="F768" i="5" s="1"/>
  <c r="K770" i="3"/>
  <c r="F769" i="5" s="1"/>
  <c r="K771" i="3"/>
  <c r="F770" i="5" s="1"/>
  <c r="K772" i="3"/>
  <c r="K773" i="3"/>
  <c r="F772" i="5" s="1"/>
  <c r="K774" i="3"/>
  <c r="F773" i="5" s="1"/>
  <c r="K775" i="3"/>
  <c r="F774" i="5" s="1"/>
  <c r="K776" i="3"/>
  <c r="K777" i="3"/>
  <c r="F776" i="5" s="1"/>
  <c r="K778" i="3"/>
  <c r="F777" i="5" s="1"/>
  <c r="K779" i="3"/>
  <c r="F778" i="5" s="1"/>
  <c r="K780" i="3"/>
  <c r="F779" i="5" s="1"/>
  <c r="K781" i="3"/>
  <c r="F780" i="5" s="1"/>
  <c r="K782" i="3"/>
  <c r="F781" i="5" s="1"/>
  <c r="K783" i="3"/>
  <c r="F782" i="5" s="1"/>
  <c r="K784" i="3"/>
  <c r="K785" i="3"/>
  <c r="K786" i="3"/>
  <c r="F785" i="5" s="1"/>
  <c r="K787" i="3"/>
  <c r="F786" i="5" s="1"/>
  <c r="K788" i="3"/>
  <c r="K789" i="3"/>
  <c r="F788" i="5" s="1"/>
  <c r="K790" i="3"/>
  <c r="F789" i="5" s="1"/>
  <c r="K791" i="3"/>
  <c r="F790" i="5" s="1"/>
  <c r="K792" i="3"/>
  <c r="F791" i="5" s="1"/>
  <c r="K793" i="3"/>
  <c r="F792" i="5" s="1"/>
  <c r="K794" i="3"/>
  <c r="F793" i="5" s="1"/>
  <c r="K795" i="3"/>
  <c r="F794" i="5" s="1"/>
  <c r="K796" i="3"/>
  <c r="K797" i="3"/>
  <c r="F796" i="5" s="1"/>
  <c r="K798" i="3"/>
  <c r="F797" i="5" s="1"/>
  <c r="K799" i="3"/>
  <c r="F798" i="5" s="1"/>
  <c r="K800" i="3"/>
  <c r="K801" i="3"/>
  <c r="F800" i="5" s="1"/>
  <c r="K802" i="3"/>
  <c r="F801" i="5" s="1"/>
  <c r="K803" i="3"/>
  <c r="F802" i="5" s="1"/>
  <c r="K804" i="3"/>
  <c r="F803" i="5" s="1"/>
  <c r="K805" i="3"/>
  <c r="F804" i="5" s="1"/>
  <c r="K806" i="3"/>
  <c r="F805" i="5" s="1"/>
  <c r="K807" i="3"/>
  <c r="F806" i="5" s="1"/>
  <c r="K808" i="3"/>
  <c r="K809" i="3"/>
  <c r="F808" i="5" s="1"/>
  <c r="K810" i="3"/>
  <c r="F809" i="5" s="1"/>
  <c r="K811" i="3"/>
  <c r="F810" i="5" s="1"/>
  <c r="K812" i="3"/>
  <c r="K813" i="3"/>
  <c r="F812" i="5" s="1"/>
  <c r="K814" i="3"/>
  <c r="F813" i="5" s="1"/>
  <c r="K815" i="3"/>
  <c r="F814" i="5" s="1"/>
  <c r="K816" i="3"/>
  <c r="F815" i="5" s="1"/>
  <c r="K817" i="3"/>
  <c r="F816" i="5" s="1"/>
  <c r="K818" i="3"/>
  <c r="F817" i="5" s="1"/>
  <c r="K819" i="3"/>
  <c r="F818" i="5" s="1"/>
  <c r="K820" i="3"/>
  <c r="K821" i="3"/>
  <c r="K822" i="3"/>
  <c r="F821" i="5" s="1"/>
  <c r="K823" i="3"/>
  <c r="F822" i="5" s="1"/>
  <c r="K824" i="3"/>
  <c r="K825" i="3"/>
  <c r="F824" i="5" s="1"/>
  <c r="K826" i="3"/>
  <c r="F825" i="5" s="1"/>
  <c r="K827" i="3"/>
  <c r="F826" i="5" s="1"/>
  <c r="K828" i="3"/>
  <c r="F827" i="5" s="1"/>
  <c r="K829" i="3"/>
  <c r="F828" i="5" s="1"/>
  <c r="K830" i="3"/>
  <c r="F829" i="5" s="1"/>
  <c r="K831" i="3"/>
  <c r="F830" i="5" s="1"/>
  <c r="K832" i="3"/>
  <c r="K833" i="3"/>
  <c r="F832" i="5" s="1"/>
  <c r="K834" i="3"/>
  <c r="F833" i="5" s="1"/>
  <c r="K835" i="3"/>
  <c r="F834" i="5" s="1"/>
  <c r="K836" i="3"/>
  <c r="K837" i="3"/>
  <c r="F836" i="5" s="1"/>
  <c r="K838" i="3"/>
  <c r="F837" i="5" s="1"/>
  <c r="K839" i="3"/>
  <c r="F838" i="5" s="1"/>
  <c r="K840" i="3"/>
  <c r="F839" i="5" s="1"/>
  <c r="K841" i="3"/>
  <c r="F840" i="5" s="1"/>
  <c r="K842" i="3"/>
  <c r="F841" i="5" s="1"/>
  <c r="K843" i="3"/>
  <c r="F842" i="5" s="1"/>
  <c r="K844" i="3"/>
  <c r="K845" i="3"/>
  <c r="K846" i="3"/>
  <c r="K847" i="3"/>
  <c r="F846" i="5" s="1"/>
  <c r="K848" i="3"/>
  <c r="K849" i="3"/>
  <c r="F848" i="5" s="1"/>
  <c r="K850" i="3"/>
  <c r="F849" i="5" s="1"/>
  <c r="K851" i="3"/>
  <c r="F850" i="5" s="1"/>
  <c r="K852" i="3"/>
  <c r="F851" i="5" s="1"/>
  <c r="K853" i="3"/>
  <c r="F852" i="5" s="1"/>
  <c r="K854" i="3"/>
  <c r="F853" i="5" s="1"/>
  <c r="K855" i="3"/>
  <c r="F854" i="5" s="1"/>
  <c r="K856" i="3"/>
  <c r="K857" i="3"/>
  <c r="F856" i="5" s="1"/>
  <c r="K858" i="3"/>
  <c r="F857" i="5" s="1"/>
  <c r="K859" i="3"/>
  <c r="F858" i="5" s="1"/>
  <c r="K860" i="3"/>
  <c r="K861" i="3"/>
  <c r="F860" i="5" s="1"/>
  <c r="K862" i="3"/>
  <c r="F861" i="5" s="1"/>
  <c r="K863" i="3"/>
  <c r="F862" i="5" s="1"/>
  <c r="K864" i="3"/>
  <c r="F863" i="5" s="1"/>
  <c r="K865" i="3"/>
  <c r="F864" i="5" s="1"/>
  <c r="K866" i="3"/>
  <c r="F865" i="5" s="1"/>
  <c r="K867" i="3"/>
  <c r="F866" i="5" s="1"/>
  <c r="K868" i="3"/>
  <c r="K869" i="3"/>
  <c r="F868" i="5" s="1"/>
  <c r="K870" i="3"/>
  <c r="F869" i="5" s="1"/>
  <c r="K871" i="3"/>
  <c r="F870" i="5" s="1"/>
  <c r="K872" i="3"/>
  <c r="K873" i="3"/>
  <c r="F872" i="5" s="1"/>
  <c r="K874" i="3"/>
  <c r="K875" i="3"/>
  <c r="F874" i="5" s="1"/>
  <c r="K876" i="3"/>
  <c r="F875" i="5" s="1"/>
  <c r="K877" i="3"/>
  <c r="F876" i="5" s="1"/>
  <c r="K878" i="3"/>
  <c r="F877" i="5" s="1"/>
  <c r="K879" i="3"/>
  <c r="F878" i="5" s="1"/>
  <c r="K880" i="3"/>
  <c r="K881" i="3"/>
  <c r="F880" i="5" s="1"/>
  <c r="K882" i="3"/>
  <c r="F881" i="5" s="1"/>
  <c r="K883" i="3"/>
  <c r="F882" i="5" s="1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3" i="3"/>
  <c r="K4" i="3"/>
  <c r="K2" i="3"/>
  <c r="F6" i="5" s="1"/>
  <c r="H284" i="3"/>
  <c r="H7" i="5" l="1"/>
  <c r="H796" i="5"/>
  <c r="H797" i="5"/>
  <c r="H748" i="5"/>
  <c r="H749" i="5"/>
  <c r="H412" i="5"/>
  <c r="H413" i="5"/>
  <c r="H304" i="5"/>
  <c r="H305" i="5"/>
  <c r="H160" i="5"/>
  <c r="H161" i="5"/>
  <c r="H124" i="5"/>
  <c r="H125" i="5"/>
  <c r="H149" i="5"/>
  <c r="H65" i="5"/>
  <c r="F609" i="5"/>
  <c r="F610" i="5"/>
  <c r="F477" i="5"/>
  <c r="F478" i="5"/>
  <c r="H544" i="5"/>
  <c r="F7" i="5"/>
  <c r="F735" i="5"/>
  <c r="H425" i="5"/>
  <c r="H317" i="5"/>
  <c r="H221" i="5"/>
  <c r="H135" i="5"/>
  <c r="H853" i="5"/>
  <c r="H854" i="5"/>
  <c r="H757" i="5"/>
  <c r="H758" i="5"/>
  <c r="H253" i="5"/>
  <c r="H254" i="5"/>
  <c r="H169" i="5"/>
  <c r="H170" i="5"/>
  <c r="F871" i="5"/>
  <c r="F859" i="5"/>
  <c r="H785" i="5"/>
  <c r="H734" i="5"/>
  <c r="H626" i="5"/>
  <c r="H53" i="5"/>
  <c r="H804" i="5"/>
  <c r="H805" i="5"/>
  <c r="H792" i="5"/>
  <c r="H793" i="5"/>
  <c r="H780" i="5"/>
  <c r="H781" i="5"/>
  <c r="H660" i="5"/>
  <c r="H661" i="5"/>
  <c r="H636" i="5"/>
  <c r="H637" i="5"/>
  <c r="H564" i="5"/>
  <c r="H565" i="5"/>
  <c r="H480" i="5"/>
  <c r="H481" i="5"/>
  <c r="H348" i="5"/>
  <c r="H349" i="5"/>
  <c r="H312" i="5"/>
  <c r="H313" i="5"/>
  <c r="H276" i="5"/>
  <c r="H277" i="5"/>
  <c r="H264" i="5"/>
  <c r="H265" i="5"/>
  <c r="H204" i="5"/>
  <c r="H205" i="5"/>
  <c r="H180" i="5"/>
  <c r="H181" i="5"/>
  <c r="H132" i="5"/>
  <c r="H133" i="5"/>
  <c r="H120" i="5"/>
  <c r="H121" i="5"/>
  <c r="H36" i="5"/>
  <c r="H37" i="5"/>
  <c r="G283" i="5"/>
  <c r="H832" i="5"/>
  <c r="H833" i="5"/>
  <c r="H328" i="5"/>
  <c r="H329" i="5"/>
  <c r="H232" i="5"/>
  <c r="H233" i="5"/>
  <c r="H184" i="5"/>
  <c r="H185" i="5"/>
  <c r="H606" i="5"/>
  <c r="H725" i="5"/>
  <c r="F653" i="5"/>
  <c r="F641" i="5"/>
  <c r="F629" i="5"/>
  <c r="F617" i="5"/>
  <c r="F605" i="5"/>
  <c r="F593" i="5"/>
  <c r="F581" i="5"/>
  <c r="F569" i="5"/>
  <c r="F557" i="5"/>
  <c r="F545" i="5"/>
  <c r="F533" i="5"/>
  <c r="F521" i="5"/>
  <c r="F509" i="5"/>
  <c r="F497" i="5"/>
  <c r="F485" i="5"/>
  <c r="F473" i="5"/>
  <c r="F461" i="5"/>
  <c r="F449" i="5"/>
  <c r="F437" i="5"/>
  <c r="F425" i="5"/>
  <c r="F413" i="5"/>
  <c r="F401" i="5"/>
  <c r="F389" i="5"/>
  <c r="F377" i="5"/>
  <c r="F365" i="5"/>
  <c r="F353" i="5"/>
  <c r="F341" i="5"/>
  <c r="F329" i="5"/>
  <c r="F317" i="5"/>
  <c r="F305" i="5"/>
  <c r="F293" i="5"/>
  <c r="F281" i="5"/>
  <c r="F269" i="5"/>
  <c r="F257" i="5"/>
  <c r="F245" i="5"/>
  <c r="F233" i="5"/>
  <c r="F221" i="5"/>
  <c r="F209" i="5"/>
  <c r="F197" i="5"/>
  <c r="F185" i="5"/>
  <c r="F173" i="5"/>
  <c r="F161" i="5"/>
  <c r="F149" i="5"/>
  <c r="F137" i="5"/>
  <c r="F125" i="5"/>
  <c r="F113" i="5"/>
  <c r="F101" i="5"/>
  <c r="F89" i="5"/>
  <c r="F77" i="5"/>
  <c r="F65" i="5"/>
  <c r="F53" i="5"/>
  <c r="F54" i="5"/>
  <c r="F41" i="5"/>
  <c r="F29" i="5"/>
  <c r="F3" i="5"/>
  <c r="H783" i="5"/>
  <c r="H209" i="5"/>
  <c r="H879" i="5"/>
  <c r="H880" i="5"/>
  <c r="H772" i="5"/>
  <c r="H593" i="5"/>
  <c r="H402" i="5"/>
  <c r="H257" i="5"/>
  <c r="H629" i="5"/>
  <c r="H630" i="5"/>
  <c r="H856" i="5"/>
  <c r="H857" i="5"/>
  <c r="H712" i="5"/>
  <c r="H713" i="5"/>
  <c r="H352" i="5"/>
  <c r="H353" i="5"/>
  <c r="H28" i="5"/>
  <c r="H29" i="5"/>
  <c r="H737" i="5"/>
  <c r="H497" i="5"/>
  <c r="F879" i="5"/>
  <c r="F867" i="5"/>
  <c r="F855" i="5"/>
  <c r="F843" i="5"/>
  <c r="F831" i="5"/>
  <c r="F819" i="5"/>
  <c r="F820" i="5"/>
  <c r="F807" i="5"/>
  <c r="F795" i="5"/>
  <c r="F783" i="5"/>
  <c r="F771" i="5"/>
  <c r="F759" i="5"/>
  <c r="F747" i="5"/>
  <c r="F723" i="5"/>
  <c r="F711" i="5"/>
  <c r="F699" i="5"/>
  <c r="F700" i="5"/>
  <c r="F687" i="5"/>
  <c r="F675" i="5"/>
  <c r="F663" i="5"/>
  <c r="F651" i="5"/>
  <c r="F639" i="5"/>
  <c r="F627" i="5"/>
  <c r="F615" i="5"/>
  <c r="F603" i="5"/>
  <c r="F591" i="5"/>
  <c r="F579" i="5"/>
  <c r="F567" i="5"/>
  <c r="F555" i="5"/>
  <c r="F543" i="5"/>
  <c r="F531" i="5"/>
  <c r="F519" i="5"/>
  <c r="F507" i="5"/>
  <c r="F495" i="5"/>
  <c r="F483" i="5"/>
  <c r="F471" i="5"/>
  <c r="F459" i="5"/>
  <c r="F447" i="5"/>
  <c r="F435" i="5"/>
  <c r="F423" i="5"/>
  <c r="F411" i="5"/>
  <c r="F399" i="5"/>
  <c r="F400" i="5"/>
  <c r="F387" i="5"/>
  <c r="F375" i="5"/>
  <c r="F363" i="5"/>
  <c r="F351" i="5"/>
  <c r="F339" i="5"/>
  <c r="F327" i="5"/>
  <c r="F315" i="5"/>
  <c r="F303" i="5"/>
  <c r="F291" i="5"/>
  <c r="F279" i="5"/>
  <c r="F267" i="5"/>
  <c r="F255" i="5"/>
  <c r="F243" i="5"/>
  <c r="F231" i="5"/>
  <c r="F219" i="5"/>
  <c r="F207" i="5"/>
  <c r="F195" i="5"/>
  <c r="F183" i="5"/>
  <c r="F171" i="5"/>
  <c r="F159" i="5"/>
  <c r="F147" i="5"/>
  <c r="F135" i="5"/>
  <c r="F123" i="5"/>
  <c r="F111" i="5"/>
  <c r="F99" i="5"/>
  <c r="F87" i="5"/>
  <c r="F75" i="5"/>
  <c r="F63" i="5"/>
  <c r="F51" i="5"/>
  <c r="F39" i="5"/>
  <c r="F27" i="5"/>
  <c r="F16" i="5"/>
  <c r="H590" i="5"/>
  <c r="H398" i="5"/>
  <c r="H281" i="5"/>
  <c r="H866" i="5"/>
  <c r="H697" i="5"/>
  <c r="F767" i="5"/>
  <c r="F755" i="5"/>
  <c r="F743" i="5"/>
  <c r="F731" i="5"/>
  <c r="F719" i="5"/>
  <c r="F707" i="5"/>
  <c r="F695" i="5"/>
  <c r="F683" i="5"/>
  <c r="F671" i="5"/>
  <c r="F659" i="5"/>
  <c r="F647" i="5"/>
  <c r="F635" i="5"/>
  <c r="F623" i="5"/>
  <c r="F611" i="5"/>
  <c r="F599" i="5"/>
  <c r="F587" i="5"/>
  <c r="F575" i="5"/>
  <c r="F563" i="5"/>
  <c r="F551" i="5"/>
  <c r="F539" i="5"/>
  <c r="F527" i="5"/>
  <c r="F515" i="5"/>
  <c r="F503" i="5"/>
  <c r="F491" i="5"/>
  <c r="F479" i="5"/>
  <c r="F467" i="5"/>
  <c r="F455" i="5"/>
  <c r="F443" i="5"/>
  <c r="F431" i="5"/>
  <c r="F419" i="5"/>
  <c r="F407" i="5"/>
  <c r="F395" i="5"/>
  <c r="F383" i="5"/>
  <c r="F371" i="5"/>
  <c r="F359" i="5"/>
  <c r="F347" i="5"/>
  <c r="F335" i="5"/>
  <c r="F323" i="5"/>
  <c r="F311" i="5"/>
  <c r="F299" i="5"/>
  <c r="F287" i="5"/>
  <c r="F275" i="5"/>
  <c r="F263" i="5"/>
  <c r="F251" i="5"/>
  <c r="F239" i="5"/>
  <c r="F227" i="5"/>
  <c r="F215" i="5"/>
  <c r="F203" i="5"/>
  <c r="F191" i="5"/>
  <c r="F179" i="5"/>
  <c r="F167" i="5"/>
  <c r="F155" i="5"/>
  <c r="F143" i="5"/>
  <c r="F131" i="5"/>
  <c r="F119" i="5"/>
  <c r="F107" i="5"/>
  <c r="F95" i="5"/>
  <c r="F83" i="5"/>
  <c r="F71" i="5"/>
  <c r="F59" i="5"/>
  <c r="F47" i="5"/>
  <c r="F35" i="5"/>
  <c r="F23" i="5"/>
  <c r="F12" i="5"/>
  <c r="F847" i="5"/>
  <c r="F835" i="5"/>
  <c r="F823" i="5"/>
  <c r="F811" i="5"/>
  <c r="F799" i="5"/>
  <c r="F787" i="5"/>
  <c r="F775" i="5"/>
  <c r="F763" i="5"/>
  <c r="F751" i="5"/>
  <c r="F739" i="5"/>
  <c r="F727" i="5"/>
  <c r="F715" i="5"/>
  <c r="F703" i="5"/>
  <c r="F691" i="5"/>
  <c r="F679" i="5"/>
  <c r="F667" i="5"/>
  <c r="F655" i="5"/>
  <c r="F643" i="5"/>
  <c r="F631" i="5"/>
  <c r="F619" i="5"/>
  <c r="F607" i="5"/>
  <c r="F595" i="5"/>
  <c r="F583" i="5"/>
  <c r="F571" i="5"/>
  <c r="F559" i="5"/>
  <c r="F547" i="5"/>
  <c r="F535" i="5"/>
  <c r="F523" i="5"/>
  <c r="F511" i="5"/>
  <c r="F499" i="5"/>
  <c r="F487" i="5"/>
  <c r="F475" i="5"/>
  <c r="F463" i="5"/>
  <c r="F451" i="5"/>
  <c r="F439" i="5"/>
  <c r="F427" i="5"/>
  <c r="F415" i="5"/>
  <c r="F403" i="5"/>
  <c r="F391" i="5"/>
  <c r="F379" i="5"/>
  <c r="F367" i="5"/>
  <c r="F355" i="5"/>
  <c r="F343" i="5"/>
  <c r="F331" i="5"/>
  <c r="F319" i="5"/>
  <c r="F307" i="5"/>
  <c r="F295" i="5"/>
  <c r="F283" i="5"/>
  <c r="F271" i="5"/>
  <c r="F259" i="5"/>
  <c r="F247" i="5"/>
  <c r="F235" i="5"/>
  <c r="F223" i="5"/>
  <c r="F211" i="5"/>
  <c r="F199" i="5"/>
  <c r="F187" i="5"/>
  <c r="F175" i="5"/>
  <c r="F163" i="5"/>
  <c r="F151" i="5"/>
  <c r="F139" i="5"/>
  <c r="F127" i="5"/>
  <c r="F115" i="5"/>
  <c r="F103" i="5"/>
  <c r="F91" i="5"/>
  <c r="F79" i="5"/>
  <c r="F67" i="5"/>
  <c r="F55" i="5"/>
  <c r="F43" i="5"/>
  <c r="F31" i="5"/>
  <c r="F19" i="5"/>
  <c r="F249" i="5"/>
  <c r="H874" i="5"/>
  <c r="H862" i="5"/>
  <c r="H850" i="5"/>
  <c r="H838" i="5"/>
  <c r="H826" i="5"/>
  <c r="H814" i="5"/>
  <c r="H802" i="5"/>
  <c r="H790" i="5"/>
  <c r="H778" i="5"/>
  <c r="H766" i="5"/>
  <c r="H754" i="5"/>
  <c r="H742" i="5"/>
  <c r="H730" i="5"/>
  <c r="H718" i="5"/>
  <c r="H706" i="5"/>
  <c r="H694" i="5"/>
  <c r="H682" i="5"/>
  <c r="H670" i="5"/>
  <c r="H658" i="5"/>
  <c r="H646" i="5"/>
  <c r="H634" i="5"/>
  <c r="H622" i="5"/>
  <c r="H610" i="5"/>
  <c r="H598" i="5"/>
  <c r="H586" i="5"/>
  <c r="H574" i="5"/>
  <c r="H562" i="5"/>
  <c r="H550" i="5"/>
  <c r="H538" i="5"/>
  <c r="H526" i="5"/>
  <c r="H514" i="5"/>
  <c r="H502" i="5"/>
  <c r="H490" i="5"/>
  <c r="H478" i="5"/>
  <c r="H466" i="5"/>
  <c r="H454" i="5"/>
  <c r="H442" i="5"/>
  <c r="H430" i="5"/>
  <c r="H418" i="5"/>
  <c r="H406" i="5"/>
  <c r="H394" i="5"/>
  <c r="H382" i="5"/>
  <c r="H370" i="5"/>
  <c r="H358" i="5"/>
  <c r="H346" i="5"/>
  <c r="H334" i="5"/>
  <c r="H322" i="5"/>
  <c r="H310" i="5"/>
  <c r="H298" i="5"/>
  <c r="H286" i="5"/>
  <c r="H274" i="5"/>
  <c r="H262" i="5"/>
  <c r="H250" i="5"/>
  <c r="H238" i="5"/>
  <c r="H226" i="5"/>
  <c r="H214" i="5"/>
  <c r="H202" i="5"/>
  <c r="H190" i="5"/>
  <c r="H178" i="5"/>
  <c r="H166" i="5"/>
  <c r="H154" i="5"/>
  <c r="H142" i="5"/>
  <c r="H130" i="5"/>
  <c r="H118" i="5"/>
  <c r="H106" i="5"/>
  <c r="H94" i="5"/>
  <c r="H82" i="5"/>
  <c r="H70" i="5"/>
  <c r="H58" i="5"/>
  <c r="H46" i="5"/>
  <c r="H34" i="5"/>
  <c r="H22" i="5"/>
  <c r="H11" i="5"/>
  <c r="H284" i="5"/>
  <c r="H272" i="5"/>
  <c r="H248" i="5"/>
  <c r="H236" i="5"/>
  <c r="H224" i="5"/>
  <c r="H200" i="5"/>
  <c r="H188" i="5"/>
  <c r="H164" i="5"/>
  <c r="H152" i="5"/>
  <c r="H140" i="5"/>
  <c r="H116" i="5"/>
  <c r="H104" i="5"/>
  <c r="H92" i="5"/>
  <c r="H68" i="5"/>
  <c r="H56" i="5"/>
  <c r="H44" i="5"/>
  <c r="H32" i="5"/>
  <c r="H20" i="5"/>
  <c r="H823" i="5"/>
  <c r="H811" i="5"/>
  <c r="H787" i="5"/>
  <c r="H775" i="5"/>
  <c r="H763" i="5"/>
  <c r="H727" i="5"/>
  <c r="H703" i="5"/>
  <c r="H691" i="5"/>
  <c r="H679" i="5"/>
  <c r="H631" i="5"/>
  <c r="H511" i="5"/>
  <c r="H870" i="5"/>
  <c r="H858" i="5"/>
  <c r="H846" i="5"/>
  <c r="H822" i="5"/>
  <c r="H810" i="5"/>
  <c r="H798" i="5"/>
  <c r="H774" i="5"/>
  <c r="H762" i="5"/>
  <c r="H738" i="5"/>
  <c r="H726" i="5"/>
  <c r="H714" i="5"/>
  <c r="H702" i="5"/>
  <c r="H690" i="5"/>
  <c r="H678" i="5"/>
  <c r="H666" i="5"/>
  <c r="H654" i="5"/>
  <c r="H642" i="5"/>
  <c r="H618" i="5"/>
  <c r="H594" i="5"/>
  <c r="H570" i="5"/>
  <c r="H558" i="5"/>
  <c r="H534" i="5"/>
  <c r="H522" i="5"/>
  <c r="H510" i="5"/>
  <c r="H498" i="5"/>
  <c r="H486" i="5"/>
  <c r="H474" i="5"/>
  <c r="H462" i="5"/>
  <c r="H450" i="5"/>
  <c r="H438" i="5"/>
  <c r="H414" i="5"/>
  <c r="H378" i="5"/>
  <c r="H342" i="5"/>
  <c r="H318" i="5"/>
  <c r="H294" i="5"/>
  <c r="H270" i="5"/>
  <c r="H246" i="5"/>
  <c r="H234" i="5"/>
  <c r="H222" i="5"/>
  <c r="H198" i="5"/>
  <c r="H174" i="5"/>
  <c r="H138" i="5"/>
  <c r="H114" i="5"/>
  <c r="H90" i="5"/>
  <c r="H42" i="5"/>
  <c r="H18" i="5"/>
  <c r="F8" i="5"/>
  <c r="F4" i="5"/>
  <c r="F5" i="5"/>
  <c r="H5" i="5"/>
  <c r="J284" i="3"/>
  <c r="H2" i="3"/>
  <c r="G4" i="5" s="1"/>
  <c r="H3" i="3"/>
  <c r="G5" i="5" s="1"/>
  <c r="H4" i="3"/>
  <c r="G6" i="5" s="1"/>
  <c r="H5" i="3"/>
  <c r="G7" i="5" s="1"/>
  <c r="H6" i="3"/>
  <c r="G8" i="5" s="1"/>
  <c r="G2" i="5"/>
  <c r="H8" i="3"/>
  <c r="H9" i="3"/>
  <c r="G9" i="5" s="1"/>
  <c r="H10" i="3"/>
  <c r="H11" i="3"/>
  <c r="G11" i="5" s="1"/>
  <c r="H12" i="3"/>
  <c r="G12" i="5" s="1"/>
  <c r="H13" i="3"/>
  <c r="G13" i="5" s="1"/>
  <c r="H14" i="3"/>
  <c r="G14" i="5" s="1"/>
  <c r="H15" i="3"/>
  <c r="G15" i="5" s="1"/>
  <c r="H16" i="3"/>
  <c r="G16" i="5" s="1"/>
  <c r="H17" i="3"/>
  <c r="H18" i="3"/>
  <c r="G3" i="5" s="1"/>
  <c r="H19" i="3"/>
  <c r="G18" i="5" s="1"/>
  <c r="H20" i="3"/>
  <c r="H21" i="3"/>
  <c r="G20" i="5" s="1"/>
  <c r="H22" i="3"/>
  <c r="G22" i="5"/>
  <c r="H24" i="3"/>
  <c r="G23" i="5" s="1"/>
  <c r="H25" i="3"/>
  <c r="G24" i="5" s="1"/>
  <c r="H26" i="3"/>
  <c r="G25" i="5" s="1"/>
  <c r="H27" i="3"/>
  <c r="G26" i="5" s="1"/>
  <c r="H28" i="3"/>
  <c r="G27" i="5" s="1"/>
  <c r="H29" i="3"/>
  <c r="H30" i="3"/>
  <c r="G29" i="5" s="1"/>
  <c r="H31" i="3"/>
  <c r="G30" i="5" s="1"/>
  <c r="H32" i="3"/>
  <c r="H33" i="3"/>
  <c r="G32" i="5" s="1"/>
  <c r="H34" i="3"/>
  <c r="H35" i="3"/>
  <c r="G34" i="5" s="1"/>
  <c r="H36" i="3"/>
  <c r="G35" i="5" s="1"/>
  <c r="H37" i="3"/>
  <c r="G36" i="5" s="1"/>
  <c r="H38" i="3"/>
  <c r="G37" i="5" s="1"/>
  <c r="H39" i="3"/>
  <c r="G38" i="5" s="1"/>
  <c r="H40" i="3"/>
  <c r="G39" i="5" s="1"/>
  <c r="H41" i="3"/>
  <c r="H42" i="3"/>
  <c r="G41" i="5" s="1"/>
  <c r="H43" i="3"/>
  <c r="G42" i="5" s="1"/>
  <c r="H44" i="3"/>
  <c r="H45" i="3"/>
  <c r="G44" i="5" s="1"/>
  <c r="H46" i="3"/>
  <c r="H47" i="3"/>
  <c r="G46" i="5" s="1"/>
  <c r="H48" i="3"/>
  <c r="G47" i="5" s="1"/>
  <c r="H49" i="3"/>
  <c r="G48" i="5" s="1"/>
  <c r="H50" i="3"/>
  <c r="G49" i="5" s="1"/>
  <c r="H51" i="3"/>
  <c r="G50" i="5" s="1"/>
  <c r="H52" i="3"/>
  <c r="G51" i="5" s="1"/>
  <c r="H53" i="3"/>
  <c r="H54" i="3"/>
  <c r="G53" i="5" s="1"/>
  <c r="H55" i="3"/>
  <c r="G54" i="5" s="1"/>
  <c r="H56" i="3"/>
  <c r="H57" i="3"/>
  <c r="G56" i="5" s="1"/>
  <c r="H58" i="3"/>
  <c r="H59" i="3"/>
  <c r="G58" i="5" s="1"/>
  <c r="H60" i="3"/>
  <c r="G59" i="5" s="1"/>
  <c r="H61" i="3"/>
  <c r="G60" i="5" s="1"/>
  <c r="H62" i="3"/>
  <c r="G61" i="5" s="1"/>
  <c r="H63" i="3"/>
  <c r="G62" i="5" s="1"/>
  <c r="H64" i="3"/>
  <c r="G63" i="5" s="1"/>
  <c r="H65" i="3"/>
  <c r="H66" i="3"/>
  <c r="G65" i="5" s="1"/>
  <c r="H67" i="3"/>
  <c r="G66" i="5" s="1"/>
  <c r="H68" i="3"/>
  <c r="H69" i="3"/>
  <c r="G68" i="5" s="1"/>
  <c r="H70" i="3"/>
  <c r="H71" i="3"/>
  <c r="G70" i="5" s="1"/>
  <c r="H72" i="3"/>
  <c r="G71" i="5" s="1"/>
  <c r="H73" i="3"/>
  <c r="G72" i="5" s="1"/>
  <c r="H74" i="3"/>
  <c r="G73" i="5" s="1"/>
  <c r="H75" i="3"/>
  <c r="G74" i="5" s="1"/>
  <c r="H76" i="3"/>
  <c r="G75" i="5" s="1"/>
  <c r="H77" i="3"/>
  <c r="H78" i="3"/>
  <c r="G77" i="5" s="1"/>
  <c r="H79" i="3"/>
  <c r="G78" i="5" s="1"/>
  <c r="H80" i="3"/>
  <c r="H81" i="3"/>
  <c r="G80" i="5" s="1"/>
  <c r="H82" i="3"/>
  <c r="H83" i="3"/>
  <c r="G82" i="5" s="1"/>
  <c r="H84" i="3"/>
  <c r="G83" i="5" s="1"/>
  <c r="H85" i="3"/>
  <c r="G84" i="5" s="1"/>
  <c r="H86" i="3"/>
  <c r="G85" i="5" s="1"/>
  <c r="H87" i="3"/>
  <c r="G86" i="5" s="1"/>
  <c r="H88" i="3"/>
  <c r="G87" i="5" s="1"/>
  <c r="H89" i="3"/>
  <c r="H90" i="3"/>
  <c r="G89" i="5" s="1"/>
  <c r="H91" i="3"/>
  <c r="G90" i="5" s="1"/>
  <c r="H92" i="3"/>
  <c r="H93" i="3"/>
  <c r="G92" i="5" s="1"/>
  <c r="H94" i="3"/>
  <c r="H95" i="3"/>
  <c r="G94" i="5" s="1"/>
  <c r="H96" i="3"/>
  <c r="G95" i="5" s="1"/>
  <c r="H97" i="3"/>
  <c r="G96" i="5" s="1"/>
  <c r="H98" i="3"/>
  <c r="G97" i="5" s="1"/>
  <c r="H99" i="3"/>
  <c r="G98" i="5" s="1"/>
  <c r="H100" i="3"/>
  <c r="G99" i="5" s="1"/>
  <c r="H101" i="3"/>
  <c r="H102" i="3"/>
  <c r="G101" i="5" s="1"/>
  <c r="H103" i="3"/>
  <c r="G102" i="5" s="1"/>
  <c r="H104" i="3"/>
  <c r="H105" i="3"/>
  <c r="G104" i="5" s="1"/>
  <c r="H106" i="3"/>
  <c r="H107" i="3"/>
  <c r="G106" i="5" s="1"/>
  <c r="H108" i="3"/>
  <c r="G107" i="5" s="1"/>
  <c r="H109" i="3"/>
  <c r="G108" i="5" s="1"/>
  <c r="H110" i="3"/>
  <c r="G109" i="5" s="1"/>
  <c r="H111" i="3"/>
  <c r="G110" i="5" s="1"/>
  <c r="H112" i="3"/>
  <c r="G111" i="5" s="1"/>
  <c r="H113" i="3"/>
  <c r="H114" i="3"/>
  <c r="G113" i="5" s="1"/>
  <c r="H115" i="3"/>
  <c r="G114" i="5" s="1"/>
  <c r="H116" i="3"/>
  <c r="H117" i="3"/>
  <c r="G116" i="5" s="1"/>
  <c r="H118" i="3"/>
  <c r="H119" i="3"/>
  <c r="G118" i="5" s="1"/>
  <c r="H120" i="3"/>
  <c r="G119" i="5" s="1"/>
  <c r="H121" i="3"/>
  <c r="G120" i="5" s="1"/>
  <c r="H122" i="3"/>
  <c r="G121" i="5" s="1"/>
  <c r="H123" i="3"/>
  <c r="G122" i="5" s="1"/>
  <c r="H124" i="3"/>
  <c r="G123" i="5" s="1"/>
  <c r="H125" i="3"/>
  <c r="H126" i="3"/>
  <c r="G125" i="5" s="1"/>
  <c r="H127" i="3"/>
  <c r="G126" i="5" s="1"/>
  <c r="H128" i="3"/>
  <c r="H129" i="3"/>
  <c r="G128" i="5" s="1"/>
  <c r="H130" i="3"/>
  <c r="H131" i="3"/>
  <c r="G130" i="5" s="1"/>
  <c r="H132" i="3"/>
  <c r="G131" i="5" s="1"/>
  <c r="H133" i="3"/>
  <c r="G132" i="5" s="1"/>
  <c r="H134" i="3"/>
  <c r="G133" i="5" s="1"/>
  <c r="H135" i="3"/>
  <c r="G134" i="5" s="1"/>
  <c r="H136" i="3"/>
  <c r="G135" i="5" s="1"/>
  <c r="H137" i="3"/>
  <c r="H138" i="3"/>
  <c r="G137" i="5" s="1"/>
  <c r="H139" i="3"/>
  <c r="G138" i="5" s="1"/>
  <c r="H140" i="3"/>
  <c r="H141" i="3"/>
  <c r="G140" i="5" s="1"/>
  <c r="H142" i="3"/>
  <c r="H143" i="3"/>
  <c r="G142" i="5" s="1"/>
  <c r="H144" i="3"/>
  <c r="G143" i="5" s="1"/>
  <c r="H145" i="3"/>
  <c r="G144" i="5" s="1"/>
  <c r="H146" i="3"/>
  <c r="G145" i="5" s="1"/>
  <c r="H147" i="3"/>
  <c r="G146" i="5" s="1"/>
  <c r="H148" i="3"/>
  <c r="G147" i="5" s="1"/>
  <c r="H149" i="3"/>
  <c r="H150" i="3"/>
  <c r="G149" i="5" s="1"/>
  <c r="H151" i="3"/>
  <c r="G150" i="5" s="1"/>
  <c r="H152" i="3"/>
  <c r="H153" i="3"/>
  <c r="G152" i="5" s="1"/>
  <c r="H154" i="3"/>
  <c r="H155" i="3"/>
  <c r="G154" i="5" s="1"/>
  <c r="H156" i="3"/>
  <c r="G155" i="5" s="1"/>
  <c r="H157" i="3"/>
  <c r="G156" i="5" s="1"/>
  <c r="H158" i="3"/>
  <c r="G157" i="5" s="1"/>
  <c r="H159" i="3"/>
  <c r="G158" i="5" s="1"/>
  <c r="H160" i="3"/>
  <c r="G159" i="5" s="1"/>
  <c r="H161" i="3"/>
  <c r="H162" i="3"/>
  <c r="G161" i="5" s="1"/>
  <c r="H163" i="3"/>
  <c r="G162" i="5" s="1"/>
  <c r="H164" i="3"/>
  <c r="H165" i="3"/>
  <c r="G164" i="5" s="1"/>
  <c r="H166" i="3"/>
  <c r="H167" i="3"/>
  <c r="G166" i="5" s="1"/>
  <c r="H168" i="3"/>
  <c r="G167" i="5" s="1"/>
  <c r="H169" i="3"/>
  <c r="G168" i="5" s="1"/>
  <c r="H170" i="3"/>
  <c r="G169" i="5" s="1"/>
  <c r="H171" i="3"/>
  <c r="G170" i="5" s="1"/>
  <c r="H172" i="3"/>
  <c r="G171" i="5" s="1"/>
  <c r="H173" i="3"/>
  <c r="H174" i="3"/>
  <c r="G173" i="5" s="1"/>
  <c r="H175" i="3"/>
  <c r="G174" i="5" s="1"/>
  <c r="H176" i="3"/>
  <c r="H177" i="3"/>
  <c r="G176" i="5" s="1"/>
  <c r="H178" i="3"/>
  <c r="H179" i="3"/>
  <c r="G178" i="5" s="1"/>
  <c r="H180" i="3"/>
  <c r="G179" i="5" s="1"/>
  <c r="H181" i="3"/>
  <c r="G180" i="5" s="1"/>
  <c r="H182" i="3"/>
  <c r="G181" i="5" s="1"/>
  <c r="H183" i="3"/>
  <c r="G182" i="5" s="1"/>
  <c r="H184" i="3"/>
  <c r="G183" i="5" s="1"/>
  <c r="H185" i="3"/>
  <c r="H186" i="3"/>
  <c r="G185" i="5" s="1"/>
  <c r="H187" i="3"/>
  <c r="G186" i="5" s="1"/>
  <c r="H188" i="3"/>
  <c r="H189" i="3"/>
  <c r="G188" i="5" s="1"/>
  <c r="H190" i="3"/>
  <c r="H191" i="3"/>
  <c r="G190" i="5" s="1"/>
  <c r="H192" i="3"/>
  <c r="G191" i="5" s="1"/>
  <c r="H193" i="3"/>
  <c r="G192" i="5" s="1"/>
  <c r="H194" i="3"/>
  <c r="G193" i="5" s="1"/>
  <c r="H195" i="3"/>
  <c r="G194" i="5" s="1"/>
  <c r="H196" i="3"/>
  <c r="G195" i="5" s="1"/>
  <c r="H197" i="3"/>
  <c r="H198" i="3"/>
  <c r="G197" i="5" s="1"/>
  <c r="H199" i="3"/>
  <c r="G198" i="5" s="1"/>
  <c r="H200" i="3"/>
  <c r="H201" i="3"/>
  <c r="G200" i="5" s="1"/>
  <c r="H202" i="3"/>
  <c r="H203" i="3"/>
  <c r="G202" i="5" s="1"/>
  <c r="H204" i="3"/>
  <c r="G203" i="5" s="1"/>
  <c r="H205" i="3"/>
  <c r="G204" i="5" s="1"/>
  <c r="H206" i="3"/>
  <c r="G205" i="5" s="1"/>
  <c r="H207" i="3"/>
  <c r="G206" i="5" s="1"/>
  <c r="H208" i="3"/>
  <c r="G207" i="5" s="1"/>
  <c r="H209" i="3"/>
  <c r="H210" i="3"/>
  <c r="G209" i="5" s="1"/>
  <c r="H211" i="3"/>
  <c r="G210" i="5" s="1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J884" i="3" s="1"/>
  <c r="H885" i="3"/>
  <c r="J885" i="3" s="1"/>
  <c r="H886" i="3"/>
  <c r="J886" i="3" s="1"/>
  <c r="H887" i="3"/>
  <c r="J887" i="3" s="1"/>
  <c r="H888" i="3"/>
  <c r="J888" i="3" s="1"/>
  <c r="H889" i="3"/>
  <c r="J889" i="3" s="1"/>
  <c r="H890" i="3"/>
  <c r="J890" i="3" s="1"/>
  <c r="H891" i="3"/>
  <c r="J891" i="3" s="1"/>
  <c r="H892" i="3"/>
  <c r="J892" i="3" s="1"/>
  <c r="H893" i="3"/>
  <c r="J893" i="3" s="1"/>
  <c r="H894" i="3"/>
  <c r="J894" i="3" s="1"/>
  <c r="H895" i="3"/>
  <c r="J895" i="3" s="1"/>
  <c r="G201" i="5" l="1"/>
  <c r="G189" i="5"/>
  <c r="G177" i="5"/>
  <c r="G165" i="5"/>
  <c r="G153" i="5"/>
  <c r="G141" i="5"/>
  <c r="G129" i="5"/>
  <c r="G117" i="5"/>
  <c r="G105" i="5"/>
  <c r="G93" i="5"/>
  <c r="G81" i="5"/>
  <c r="G69" i="5"/>
  <c r="G57" i="5"/>
  <c r="G45" i="5"/>
  <c r="G33" i="5"/>
  <c r="G21" i="5"/>
  <c r="G10" i="5"/>
  <c r="G199" i="5"/>
  <c r="G187" i="5"/>
  <c r="G175" i="5"/>
  <c r="G163" i="5"/>
  <c r="G151" i="5"/>
  <c r="G139" i="5"/>
  <c r="G127" i="5"/>
  <c r="G115" i="5"/>
  <c r="G103" i="5"/>
  <c r="G91" i="5"/>
  <c r="G79" i="5"/>
  <c r="G67" i="5"/>
  <c r="G55" i="5"/>
  <c r="G43" i="5"/>
  <c r="G31" i="5"/>
  <c r="G19" i="5"/>
  <c r="G208" i="5"/>
  <c r="G196" i="5"/>
  <c r="G184" i="5"/>
  <c r="G172" i="5"/>
  <c r="G160" i="5"/>
  <c r="G148" i="5"/>
  <c r="G136" i="5"/>
  <c r="G124" i="5"/>
  <c r="G112" i="5"/>
  <c r="G100" i="5"/>
  <c r="G88" i="5"/>
  <c r="G76" i="5"/>
  <c r="G64" i="5"/>
  <c r="G52" i="5"/>
  <c r="G40" i="5"/>
  <c r="G28" i="5"/>
  <c r="G17" i="5"/>
  <c r="J860" i="3"/>
  <c r="G859" i="5"/>
  <c r="J836" i="3"/>
  <c r="G835" i="5"/>
  <c r="J788" i="3"/>
  <c r="G787" i="5"/>
  <c r="J764" i="3"/>
  <c r="G763" i="5"/>
  <c r="J716" i="3"/>
  <c r="G715" i="5"/>
  <c r="J692" i="3"/>
  <c r="G691" i="5"/>
  <c r="J644" i="3"/>
  <c r="G643" i="5"/>
  <c r="J620" i="3"/>
  <c r="G619" i="5"/>
  <c r="J572" i="3"/>
  <c r="G571" i="5"/>
  <c r="J560" i="3"/>
  <c r="G559" i="5"/>
  <c r="J500" i="3"/>
  <c r="G499" i="5"/>
  <c r="J488" i="3"/>
  <c r="G487" i="5"/>
  <c r="J440" i="3"/>
  <c r="G439" i="5"/>
  <c r="J416" i="3"/>
  <c r="G415" i="5"/>
  <c r="J356" i="3"/>
  <c r="G355" i="5"/>
  <c r="J344" i="3"/>
  <c r="G343" i="5"/>
  <c r="J296" i="3"/>
  <c r="G295" i="5"/>
  <c r="J271" i="3"/>
  <c r="G270" i="5"/>
  <c r="J847" i="3"/>
  <c r="G846" i="5"/>
  <c r="J799" i="3"/>
  <c r="G798" i="5"/>
  <c r="J775" i="3"/>
  <c r="G774" i="5"/>
  <c r="J727" i="3"/>
  <c r="G726" i="5"/>
  <c r="J703" i="3"/>
  <c r="G702" i="5"/>
  <c r="J655" i="3"/>
  <c r="G654" i="5"/>
  <c r="J631" i="3"/>
  <c r="G630" i="5"/>
  <c r="J583" i="3"/>
  <c r="G582" i="5"/>
  <c r="J559" i="3"/>
  <c r="G558" i="5"/>
  <c r="J511" i="3"/>
  <c r="G510" i="5"/>
  <c r="J487" i="3"/>
  <c r="G486" i="5"/>
  <c r="J439" i="3"/>
  <c r="G438" i="5"/>
  <c r="J427" i="3"/>
  <c r="G426" i="5"/>
  <c r="J367" i="3"/>
  <c r="G366" i="5"/>
  <c r="J355" i="3"/>
  <c r="G354" i="5"/>
  <c r="J295" i="3"/>
  <c r="G294" i="5"/>
  <c r="J282" i="3"/>
  <c r="G281" i="5"/>
  <c r="J234" i="3"/>
  <c r="G233" i="5"/>
  <c r="J858" i="3"/>
  <c r="G857" i="5"/>
  <c r="J834" i="3"/>
  <c r="G833" i="5"/>
  <c r="J786" i="3"/>
  <c r="G785" i="5"/>
  <c r="J750" i="3"/>
  <c r="G749" i="5"/>
  <c r="J714" i="3"/>
  <c r="G713" i="5"/>
  <c r="J678" i="3"/>
  <c r="G677" i="5"/>
  <c r="J642" i="3"/>
  <c r="G641" i="5"/>
  <c r="J606" i="3"/>
  <c r="G605" i="5"/>
  <c r="J570" i="3"/>
  <c r="G569" i="5"/>
  <c r="J534" i="3"/>
  <c r="G533" i="5"/>
  <c r="J498" i="3"/>
  <c r="G497" i="5"/>
  <c r="J462" i="3"/>
  <c r="G461" i="5"/>
  <c r="J450" i="3"/>
  <c r="G449" i="5"/>
  <c r="J426" i="3"/>
  <c r="G425" i="5"/>
  <c r="J378" i="3"/>
  <c r="G377" i="5"/>
  <c r="J354" i="3"/>
  <c r="G353" i="5"/>
  <c r="J318" i="3"/>
  <c r="G317" i="5"/>
  <c r="J294" i="3"/>
  <c r="G293" i="5"/>
  <c r="J257" i="3"/>
  <c r="G256" i="5"/>
  <c r="J245" i="3"/>
  <c r="G244" i="5"/>
  <c r="J881" i="3"/>
  <c r="G880" i="5"/>
  <c r="J869" i="3"/>
  <c r="G868" i="5"/>
  <c r="J809" i="3"/>
  <c r="G808" i="5"/>
  <c r="J797" i="3"/>
  <c r="G796" i="5"/>
  <c r="J785" i="3"/>
  <c r="G784" i="5"/>
  <c r="J725" i="3"/>
  <c r="G724" i="5"/>
  <c r="J713" i="3"/>
  <c r="G712" i="5"/>
  <c r="J653" i="3"/>
  <c r="G652" i="5"/>
  <c r="J641" i="3"/>
  <c r="G640" i="5"/>
  <c r="J581" i="3"/>
  <c r="G580" i="5"/>
  <c r="J557" i="3"/>
  <c r="G556" i="5"/>
  <c r="J509" i="3"/>
  <c r="G508" i="5"/>
  <c r="J485" i="3"/>
  <c r="G484" i="5"/>
  <c r="J437" i="3"/>
  <c r="G436" i="5"/>
  <c r="J425" i="3"/>
  <c r="G424" i="5"/>
  <c r="J365" i="3"/>
  <c r="G364" i="5"/>
  <c r="J353" i="3"/>
  <c r="G352" i="5"/>
  <c r="J293" i="3"/>
  <c r="G292" i="5"/>
  <c r="J280" i="3"/>
  <c r="G279" i="5"/>
  <c r="J244" i="3"/>
  <c r="G243" i="5"/>
  <c r="J868" i="3"/>
  <c r="G867" i="5"/>
  <c r="J820" i="3"/>
  <c r="G819" i="5"/>
  <c r="J808" i="3"/>
  <c r="G807" i="5"/>
  <c r="J748" i="3"/>
  <c r="G747" i="5"/>
  <c r="J736" i="3"/>
  <c r="G735" i="5"/>
  <c r="J676" i="3"/>
  <c r="G675" i="5"/>
  <c r="J664" i="3"/>
  <c r="G663" i="5"/>
  <c r="J616" i="3"/>
  <c r="G615" i="5"/>
  <c r="J592" i="3"/>
  <c r="G591" i="5"/>
  <c r="J544" i="3"/>
  <c r="G543" i="5"/>
  <c r="J520" i="3"/>
  <c r="G519" i="5"/>
  <c r="J484" i="3"/>
  <c r="G483" i="5"/>
  <c r="J448" i="3"/>
  <c r="G447" i="5"/>
  <c r="J412" i="3"/>
  <c r="G411" i="5"/>
  <c r="J376" i="3"/>
  <c r="G375" i="5"/>
  <c r="J340" i="3"/>
  <c r="G339" i="5"/>
  <c r="J304" i="3"/>
  <c r="G303" i="5"/>
  <c r="J267" i="3"/>
  <c r="G266" i="5"/>
  <c r="J243" i="3"/>
  <c r="G242" i="5"/>
  <c r="J219" i="3"/>
  <c r="G218" i="5"/>
  <c r="J867" i="3"/>
  <c r="G866" i="5"/>
  <c r="J831" i="3"/>
  <c r="G830" i="5"/>
  <c r="J795" i="3"/>
  <c r="G794" i="5"/>
  <c r="J759" i="3"/>
  <c r="G758" i="5"/>
  <c r="J723" i="3"/>
  <c r="G722" i="5"/>
  <c r="J687" i="3"/>
  <c r="G686" i="5"/>
  <c r="J651" i="3"/>
  <c r="G650" i="5"/>
  <c r="J615" i="3"/>
  <c r="G614" i="5"/>
  <c r="J567" i="3"/>
  <c r="G566" i="5"/>
  <c r="J543" i="3"/>
  <c r="G542" i="5"/>
  <c r="J495" i="3"/>
  <c r="G494" i="5"/>
  <c r="J471" i="3"/>
  <c r="G470" i="5"/>
  <c r="J459" i="3"/>
  <c r="G458" i="5"/>
  <c r="J411" i="3"/>
  <c r="G410" i="5"/>
  <c r="J387" i="3"/>
  <c r="G386" i="5"/>
  <c r="J339" i="3"/>
  <c r="G338" i="5"/>
  <c r="J315" i="3"/>
  <c r="G314" i="5"/>
  <c r="J254" i="3"/>
  <c r="G253" i="5"/>
  <c r="J242" i="3"/>
  <c r="G241" i="5"/>
  <c r="J218" i="3"/>
  <c r="G217" i="5"/>
  <c r="J866" i="3"/>
  <c r="G865" i="5"/>
  <c r="J818" i="3"/>
  <c r="G817" i="5"/>
  <c r="J794" i="3"/>
  <c r="G793" i="5"/>
  <c r="J758" i="3"/>
  <c r="G757" i="5"/>
  <c r="J722" i="3"/>
  <c r="G721" i="5"/>
  <c r="J710" i="3"/>
  <c r="G709" i="5"/>
  <c r="J698" i="3"/>
  <c r="G697" i="5"/>
  <c r="J674" i="3"/>
  <c r="G673" i="5"/>
  <c r="J662" i="3"/>
  <c r="G661" i="5"/>
  <c r="J650" i="3"/>
  <c r="G649" i="5"/>
  <c r="J638" i="3"/>
  <c r="G637" i="5"/>
  <c r="J626" i="3"/>
  <c r="G625" i="5"/>
  <c r="J614" i="3"/>
  <c r="G613" i="5"/>
  <c r="J602" i="3"/>
  <c r="G601" i="5"/>
  <c r="J590" i="3"/>
  <c r="G589" i="5"/>
  <c r="J578" i="3"/>
  <c r="G577" i="5"/>
  <c r="J566" i="3"/>
  <c r="G565" i="5"/>
  <c r="J554" i="3"/>
  <c r="G553" i="5"/>
  <c r="J542" i="3"/>
  <c r="G541" i="5"/>
  <c r="J530" i="3"/>
  <c r="G529" i="5"/>
  <c r="J518" i="3"/>
  <c r="G517" i="5"/>
  <c r="J506" i="3"/>
  <c r="G505" i="5"/>
  <c r="J494" i="3"/>
  <c r="G493" i="5"/>
  <c r="J482" i="3"/>
  <c r="G481" i="5"/>
  <c r="J470" i="3"/>
  <c r="G469" i="5"/>
  <c r="J458" i="3"/>
  <c r="G457" i="5"/>
  <c r="J446" i="3"/>
  <c r="G445" i="5"/>
  <c r="J434" i="3"/>
  <c r="G433" i="5"/>
  <c r="J422" i="3"/>
  <c r="G421" i="5"/>
  <c r="J410" i="3"/>
  <c r="G409" i="5"/>
  <c r="J398" i="3"/>
  <c r="G397" i="5"/>
  <c r="J386" i="3"/>
  <c r="G385" i="5"/>
  <c r="J374" i="3"/>
  <c r="G373" i="5"/>
  <c r="J362" i="3"/>
  <c r="G361" i="5"/>
  <c r="J350" i="3"/>
  <c r="G349" i="5"/>
  <c r="J338" i="3"/>
  <c r="G337" i="5"/>
  <c r="J326" i="3"/>
  <c r="G325" i="5"/>
  <c r="J314" i="3"/>
  <c r="G313" i="5"/>
  <c r="J302" i="3"/>
  <c r="G301" i="5"/>
  <c r="J290" i="3"/>
  <c r="G289" i="5"/>
  <c r="J277" i="3"/>
  <c r="G276" i="5"/>
  <c r="J265" i="3"/>
  <c r="G264" i="5"/>
  <c r="J253" i="3"/>
  <c r="G252" i="5"/>
  <c r="J241" i="3"/>
  <c r="G240" i="5"/>
  <c r="J229" i="3"/>
  <c r="G228" i="5"/>
  <c r="J217" i="3"/>
  <c r="G216" i="5"/>
  <c r="J877" i="3"/>
  <c r="G876" i="5"/>
  <c r="J865" i="3"/>
  <c r="G864" i="5"/>
  <c r="J853" i="3"/>
  <c r="G852" i="5"/>
  <c r="J841" i="3"/>
  <c r="G840" i="5"/>
  <c r="J829" i="3"/>
  <c r="G828" i="5"/>
  <c r="J817" i="3"/>
  <c r="G816" i="5"/>
  <c r="J805" i="3"/>
  <c r="G804" i="5"/>
  <c r="J793" i="3"/>
  <c r="G792" i="5"/>
  <c r="J781" i="3"/>
  <c r="G780" i="5"/>
  <c r="J769" i="3"/>
  <c r="G768" i="5"/>
  <c r="J757" i="3"/>
  <c r="G756" i="5"/>
  <c r="J745" i="3"/>
  <c r="G744" i="5"/>
  <c r="J733" i="3"/>
  <c r="G732" i="5"/>
  <c r="J721" i="3"/>
  <c r="G720" i="5"/>
  <c r="J709" i="3"/>
  <c r="G708" i="5"/>
  <c r="J697" i="3"/>
  <c r="G696" i="5"/>
  <c r="J685" i="3"/>
  <c r="G684" i="5"/>
  <c r="J673" i="3"/>
  <c r="G672" i="5"/>
  <c r="J661" i="3"/>
  <c r="G660" i="5"/>
  <c r="J649" i="3"/>
  <c r="G648" i="5"/>
  <c r="J637" i="3"/>
  <c r="G636" i="5"/>
  <c r="J625" i="3"/>
  <c r="G624" i="5"/>
  <c r="J613" i="3"/>
  <c r="G612" i="5"/>
  <c r="J601" i="3"/>
  <c r="G600" i="5"/>
  <c r="J589" i="3"/>
  <c r="G588" i="5"/>
  <c r="J577" i="3"/>
  <c r="G576" i="5"/>
  <c r="J565" i="3"/>
  <c r="G564" i="5"/>
  <c r="J553" i="3"/>
  <c r="G552" i="5"/>
  <c r="J541" i="3"/>
  <c r="G540" i="5"/>
  <c r="J529" i="3"/>
  <c r="G528" i="5"/>
  <c r="J517" i="3"/>
  <c r="G516" i="5"/>
  <c r="J505" i="3"/>
  <c r="G504" i="5"/>
  <c r="J493" i="3"/>
  <c r="G492" i="5"/>
  <c r="J481" i="3"/>
  <c r="G480" i="5"/>
  <c r="J469" i="3"/>
  <c r="G468" i="5"/>
  <c r="J457" i="3"/>
  <c r="G456" i="5"/>
  <c r="J445" i="3"/>
  <c r="G444" i="5"/>
  <c r="J433" i="3"/>
  <c r="G432" i="5"/>
  <c r="J421" i="3"/>
  <c r="G420" i="5"/>
  <c r="J409" i="3"/>
  <c r="G408" i="5"/>
  <c r="J397" i="3"/>
  <c r="G396" i="5"/>
  <c r="J385" i="3"/>
  <c r="G384" i="5"/>
  <c r="J373" i="3"/>
  <c r="G372" i="5"/>
  <c r="J361" i="3"/>
  <c r="G360" i="5"/>
  <c r="J349" i="3"/>
  <c r="G348" i="5"/>
  <c r="J337" i="3"/>
  <c r="G336" i="5"/>
  <c r="J325" i="3"/>
  <c r="G324" i="5"/>
  <c r="J313" i="3"/>
  <c r="G312" i="5"/>
  <c r="J301" i="3"/>
  <c r="G300" i="5"/>
  <c r="J289" i="3"/>
  <c r="G288" i="5"/>
  <c r="J276" i="3"/>
  <c r="G275" i="5"/>
  <c r="J264" i="3"/>
  <c r="G263" i="5"/>
  <c r="J252" i="3"/>
  <c r="G251" i="5"/>
  <c r="J240" i="3"/>
  <c r="G239" i="5"/>
  <c r="J228" i="3"/>
  <c r="G227" i="5"/>
  <c r="J216" i="3"/>
  <c r="G215" i="5"/>
  <c r="J872" i="3"/>
  <c r="G871" i="5"/>
  <c r="J800" i="3"/>
  <c r="G799" i="5"/>
  <c r="J728" i="3"/>
  <c r="G727" i="5"/>
  <c r="J656" i="3"/>
  <c r="G655" i="5"/>
  <c r="J584" i="3"/>
  <c r="G583" i="5"/>
  <c r="J512" i="3"/>
  <c r="G511" i="5"/>
  <c r="J428" i="3"/>
  <c r="G427" i="5"/>
  <c r="J368" i="3"/>
  <c r="G367" i="5"/>
  <c r="J308" i="3"/>
  <c r="G307" i="5"/>
  <c r="J235" i="3"/>
  <c r="G234" i="5"/>
  <c r="J871" i="3"/>
  <c r="G870" i="5"/>
  <c r="J811" i="3"/>
  <c r="G810" i="5"/>
  <c r="J739" i="3"/>
  <c r="G738" i="5"/>
  <c r="J667" i="3"/>
  <c r="G666" i="5"/>
  <c r="J607" i="3"/>
  <c r="G606" i="5"/>
  <c r="J535" i="3"/>
  <c r="G534" i="5"/>
  <c r="J475" i="3"/>
  <c r="G474" i="5"/>
  <c r="J403" i="3"/>
  <c r="G402" i="5"/>
  <c r="J331" i="3"/>
  <c r="G330" i="5"/>
  <c r="J270" i="3"/>
  <c r="G269" i="5"/>
  <c r="J882" i="3"/>
  <c r="G881" i="5"/>
  <c r="J810" i="3"/>
  <c r="G809" i="5"/>
  <c r="J738" i="3"/>
  <c r="G737" i="5"/>
  <c r="J666" i="3"/>
  <c r="G665" i="5"/>
  <c r="J594" i="3"/>
  <c r="G593" i="5"/>
  <c r="J522" i="3"/>
  <c r="G521" i="5"/>
  <c r="J390" i="3"/>
  <c r="G389" i="5"/>
  <c r="J833" i="3"/>
  <c r="G832" i="5"/>
  <c r="J761" i="3"/>
  <c r="G760" i="5"/>
  <c r="J689" i="3"/>
  <c r="G688" i="5"/>
  <c r="J617" i="3"/>
  <c r="G616" i="5"/>
  <c r="J545" i="3"/>
  <c r="G544" i="5"/>
  <c r="J473" i="3"/>
  <c r="G472" i="5"/>
  <c r="J401" i="3"/>
  <c r="G400" i="5"/>
  <c r="J329" i="3"/>
  <c r="G328" i="5"/>
  <c r="J256" i="3"/>
  <c r="G255" i="5"/>
  <c r="J832" i="3"/>
  <c r="G831" i="5"/>
  <c r="J760" i="3"/>
  <c r="G759" i="5"/>
  <c r="J700" i="3"/>
  <c r="G699" i="5"/>
  <c r="J628" i="3"/>
  <c r="G627" i="5"/>
  <c r="J568" i="3"/>
  <c r="G567" i="5"/>
  <c r="J496" i="3"/>
  <c r="G495" i="5"/>
  <c r="J424" i="3"/>
  <c r="G423" i="5"/>
  <c r="J352" i="3"/>
  <c r="G351" i="5"/>
  <c r="J279" i="3"/>
  <c r="G278" i="5"/>
  <c r="J843" i="3"/>
  <c r="G842" i="5"/>
  <c r="J771" i="3"/>
  <c r="G770" i="5"/>
  <c r="J699" i="3"/>
  <c r="G698" i="5"/>
  <c r="J627" i="3"/>
  <c r="G626" i="5"/>
  <c r="J555" i="3"/>
  <c r="G554" i="5"/>
  <c r="J483" i="3"/>
  <c r="G482" i="5"/>
  <c r="J399" i="3"/>
  <c r="G398" i="5"/>
  <c r="J327" i="3"/>
  <c r="G326" i="5"/>
  <c r="J266" i="3"/>
  <c r="G265" i="5"/>
  <c r="J230" i="3"/>
  <c r="G229" i="5"/>
  <c r="J878" i="3"/>
  <c r="G877" i="5"/>
  <c r="J806" i="3"/>
  <c r="G805" i="5"/>
  <c r="J734" i="3"/>
  <c r="G733" i="5"/>
  <c r="J686" i="3"/>
  <c r="G685" i="5"/>
  <c r="J876" i="3"/>
  <c r="G875" i="5"/>
  <c r="J864" i="3"/>
  <c r="G863" i="5"/>
  <c r="J852" i="3"/>
  <c r="G851" i="5"/>
  <c r="J840" i="3"/>
  <c r="G839" i="5"/>
  <c r="J828" i="3"/>
  <c r="G827" i="5"/>
  <c r="J816" i="3"/>
  <c r="G815" i="5"/>
  <c r="J804" i="3"/>
  <c r="G803" i="5"/>
  <c r="J792" i="3"/>
  <c r="G791" i="5"/>
  <c r="J780" i="3"/>
  <c r="G779" i="5"/>
  <c r="J768" i="3"/>
  <c r="G767" i="5"/>
  <c r="J756" i="3"/>
  <c r="G755" i="5"/>
  <c r="J744" i="3"/>
  <c r="G743" i="5"/>
  <c r="J732" i="3"/>
  <c r="G731" i="5"/>
  <c r="J720" i="3"/>
  <c r="G719" i="5"/>
  <c r="J708" i="3"/>
  <c r="G707" i="5"/>
  <c r="J696" i="3"/>
  <c r="G695" i="5"/>
  <c r="J684" i="3"/>
  <c r="G683" i="5"/>
  <c r="J672" i="3"/>
  <c r="G671" i="5"/>
  <c r="J660" i="3"/>
  <c r="G659" i="5"/>
  <c r="J648" i="3"/>
  <c r="G647" i="5"/>
  <c r="J636" i="3"/>
  <c r="G635" i="5"/>
  <c r="J624" i="3"/>
  <c r="G623" i="5"/>
  <c r="J612" i="3"/>
  <c r="G611" i="5"/>
  <c r="J600" i="3"/>
  <c r="G599" i="5"/>
  <c r="J588" i="3"/>
  <c r="G587" i="5"/>
  <c r="J576" i="3"/>
  <c r="G575" i="5"/>
  <c r="J564" i="3"/>
  <c r="G563" i="5"/>
  <c r="J552" i="3"/>
  <c r="G551" i="5"/>
  <c r="J540" i="3"/>
  <c r="G539" i="5"/>
  <c r="J528" i="3"/>
  <c r="G527" i="5"/>
  <c r="J516" i="3"/>
  <c r="G515" i="5"/>
  <c r="J504" i="3"/>
  <c r="G503" i="5"/>
  <c r="J492" i="3"/>
  <c r="G491" i="5"/>
  <c r="J480" i="3"/>
  <c r="G479" i="5"/>
  <c r="J468" i="3"/>
  <c r="G467" i="5"/>
  <c r="J456" i="3"/>
  <c r="G455" i="5"/>
  <c r="J444" i="3"/>
  <c r="G443" i="5"/>
  <c r="J432" i="3"/>
  <c r="G431" i="5"/>
  <c r="J420" i="3"/>
  <c r="G419" i="5"/>
  <c r="J408" i="3"/>
  <c r="G407" i="5"/>
  <c r="J396" i="3"/>
  <c r="G395" i="5"/>
  <c r="J384" i="3"/>
  <c r="G383" i="5"/>
  <c r="J372" i="3"/>
  <c r="G371" i="5"/>
  <c r="J360" i="3"/>
  <c r="G359" i="5"/>
  <c r="J348" i="3"/>
  <c r="G347" i="5"/>
  <c r="J336" i="3"/>
  <c r="G335" i="5"/>
  <c r="J324" i="3"/>
  <c r="G323" i="5"/>
  <c r="J312" i="3"/>
  <c r="G311" i="5"/>
  <c r="J300" i="3"/>
  <c r="G299" i="5"/>
  <c r="J288" i="3"/>
  <c r="G287" i="5"/>
  <c r="J275" i="3"/>
  <c r="G274" i="5"/>
  <c r="J263" i="3"/>
  <c r="G262" i="5"/>
  <c r="J251" i="3"/>
  <c r="G250" i="5"/>
  <c r="J239" i="3"/>
  <c r="G238" i="5"/>
  <c r="J227" i="3"/>
  <c r="G226" i="5"/>
  <c r="J215" i="3"/>
  <c r="G214" i="5"/>
  <c r="J824" i="3"/>
  <c r="G823" i="5"/>
  <c r="J752" i="3"/>
  <c r="G751" i="5"/>
  <c r="J680" i="3"/>
  <c r="G679" i="5"/>
  <c r="J608" i="3"/>
  <c r="G607" i="5"/>
  <c r="J536" i="3"/>
  <c r="G535" i="5"/>
  <c r="J464" i="3"/>
  <c r="G463" i="5"/>
  <c r="J392" i="3"/>
  <c r="G391" i="5"/>
  <c r="J320" i="3"/>
  <c r="G319" i="5"/>
  <c r="J247" i="3"/>
  <c r="G246" i="5"/>
  <c r="J859" i="3"/>
  <c r="G858" i="5"/>
  <c r="J787" i="3"/>
  <c r="G786" i="5"/>
  <c r="J715" i="3"/>
  <c r="G714" i="5"/>
  <c r="J643" i="3"/>
  <c r="G642" i="5"/>
  <c r="J571" i="3"/>
  <c r="G570" i="5"/>
  <c r="J499" i="3"/>
  <c r="G498" i="5"/>
  <c r="J415" i="3"/>
  <c r="G414" i="5"/>
  <c r="J343" i="3"/>
  <c r="G342" i="5"/>
  <c r="J258" i="3"/>
  <c r="G257" i="5"/>
  <c r="J846" i="3"/>
  <c r="G845" i="5"/>
  <c r="J774" i="3"/>
  <c r="G773" i="5"/>
  <c r="J702" i="3"/>
  <c r="G701" i="5"/>
  <c r="J630" i="3"/>
  <c r="G629" i="5"/>
  <c r="J558" i="3"/>
  <c r="G557" i="5"/>
  <c r="J486" i="3"/>
  <c r="G485" i="5"/>
  <c r="J414" i="3"/>
  <c r="G413" i="5"/>
  <c r="J342" i="3"/>
  <c r="G341" i="5"/>
  <c r="J269" i="3"/>
  <c r="G268" i="5"/>
  <c r="J221" i="3"/>
  <c r="G220" i="5"/>
  <c r="J845" i="3"/>
  <c r="G844" i="5"/>
  <c r="J773" i="3"/>
  <c r="G772" i="5"/>
  <c r="J701" i="3"/>
  <c r="G700" i="5"/>
  <c r="J629" i="3"/>
  <c r="G628" i="5"/>
  <c r="J569" i="3"/>
  <c r="G568" i="5"/>
  <c r="J497" i="3"/>
  <c r="G496" i="5"/>
  <c r="J413" i="3"/>
  <c r="G412" i="5"/>
  <c r="J341" i="3"/>
  <c r="G340" i="5"/>
  <c r="J268" i="3"/>
  <c r="G267" i="5"/>
  <c r="J880" i="3"/>
  <c r="G879" i="5"/>
  <c r="J796" i="3"/>
  <c r="G795" i="5"/>
  <c r="J712" i="3"/>
  <c r="G711" i="5"/>
  <c r="J640" i="3"/>
  <c r="G639" i="5"/>
  <c r="J556" i="3"/>
  <c r="G555" i="5"/>
  <c r="J460" i="3"/>
  <c r="G459" i="5"/>
  <c r="J388" i="3"/>
  <c r="G387" i="5"/>
  <c r="J316" i="3"/>
  <c r="G315" i="5"/>
  <c r="J231" i="3"/>
  <c r="G230" i="5"/>
  <c r="J819" i="3"/>
  <c r="G818" i="5"/>
  <c r="J747" i="3"/>
  <c r="G746" i="5"/>
  <c r="J675" i="3"/>
  <c r="G674" i="5"/>
  <c r="J603" i="3"/>
  <c r="G602" i="5"/>
  <c r="J531" i="3"/>
  <c r="G530" i="5"/>
  <c r="J447" i="3"/>
  <c r="G446" i="5"/>
  <c r="J375" i="3"/>
  <c r="G374" i="5"/>
  <c r="J303" i="3"/>
  <c r="G302" i="5"/>
  <c r="J842" i="3"/>
  <c r="G841" i="5"/>
  <c r="J746" i="3"/>
  <c r="G745" i="5"/>
  <c r="J875" i="3"/>
  <c r="G874" i="5"/>
  <c r="J863" i="3"/>
  <c r="G862" i="5"/>
  <c r="J851" i="3"/>
  <c r="G850" i="5"/>
  <c r="J839" i="3"/>
  <c r="G838" i="5"/>
  <c r="J827" i="3"/>
  <c r="G826" i="5"/>
  <c r="J815" i="3"/>
  <c r="G814" i="5"/>
  <c r="J803" i="3"/>
  <c r="G802" i="5"/>
  <c r="J791" i="3"/>
  <c r="G790" i="5"/>
  <c r="J779" i="3"/>
  <c r="G778" i="5"/>
  <c r="J767" i="3"/>
  <c r="G766" i="5"/>
  <c r="J755" i="3"/>
  <c r="G754" i="5"/>
  <c r="J743" i="3"/>
  <c r="G742" i="5"/>
  <c r="J731" i="3"/>
  <c r="G730" i="5"/>
  <c r="J719" i="3"/>
  <c r="G718" i="5"/>
  <c r="J707" i="3"/>
  <c r="G706" i="5"/>
  <c r="J695" i="3"/>
  <c r="G694" i="5"/>
  <c r="J683" i="3"/>
  <c r="G682" i="5"/>
  <c r="J671" i="3"/>
  <c r="G670" i="5"/>
  <c r="J659" i="3"/>
  <c r="G658" i="5"/>
  <c r="J647" i="3"/>
  <c r="G646" i="5"/>
  <c r="J635" i="3"/>
  <c r="G634" i="5"/>
  <c r="J623" i="3"/>
  <c r="G622" i="5"/>
  <c r="J611" i="3"/>
  <c r="G610" i="5"/>
  <c r="J599" i="3"/>
  <c r="G598" i="5"/>
  <c r="J587" i="3"/>
  <c r="G586" i="5"/>
  <c r="J575" i="3"/>
  <c r="G574" i="5"/>
  <c r="J563" i="3"/>
  <c r="G562" i="5"/>
  <c r="J551" i="3"/>
  <c r="G550" i="5"/>
  <c r="J539" i="3"/>
  <c r="G538" i="5"/>
  <c r="J527" i="3"/>
  <c r="G526" i="5"/>
  <c r="J515" i="3"/>
  <c r="G514" i="5"/>
  <c r="J503" i="3"/>
  <c r="G502" i="5"/>
  <c r="J491" i="3"/>
  <c r="G490" i="5"/>
  <c r="J479" i="3"/>
  <c r="G478" i="5"/>
  <c r="J467" i="3"/>
  <c r="G466" i="5"/>
  <c r="J455" i="3"/>
  <c r="G454" i="5"/>
  <c r="J443" i="3"/>
  <c r="G442" i="5"/>
  <c r="J431" i="3"/>
  <c r="G430" i="5"/>
  <c r="J419" i="3"/>
  <c r="G418" i="5"/>
  <c r="J407" i="3"/>
  <c r="G406" i="5"/>
  <c r="J395" i="3"/>
  <c r="G394" i="5"/>
  <c r="J383" i="3"/>
  <c r="G382" i="5"/>
  <c r="J371" i="3"/>
  <c r="G370" i="5"/>
  <c r="J359" i="3"/>
  <c r="G358" i="5"/>
  <c r="J347" i="3"/>
  <c r="G346" i="5"/>
  <c r="J335" i="3"/>
  <c r="G334" i="5"/>
  <c r="J323" i="3"/>
  <c r="G322" i="5"/>
  <c r="J311" i="3"/>
  <c r="G310" i="5"/>
  <c r="J299" i="3"/>
  <c r="G298" i="5"/>
  <c r="J287" i="3"/>
  <c r="G286" i="5"/>
  <c r="J274" i="3"/>
  <c r="G273" i="5"/>
  <c r="J262" i="3"/>
  <c r="G261" i="5"/>
  <c r="J250" i="3"/>
  <c r="G249" i="5"/>
  <c r="J238" i="3"/>
  <c r="G237" i="5"/>
  <c r="J226" i="3"/>
  <c r="G225" i="5"/>
  <c r="J214" i="3"/>
  <c r="G213" i="5"/>
  <c r="J812" i="3"/>
  <c r="G811" i="5"/>
  <c r="J740" i="3"/>
  <c r="G739" i="5"/>
  <c r="J668" i="3"/>
  <c r="G667" i="5"/>
  <c r="J596" i="3"/>
  <c r="G595" i="5"/>
  <c r="J524" i="3"/>
  <c r="G523" i="5"/>
  <c r="J452" i="3"/>
  <c r="G451" i="5"/>
  <c r="J380" i="3"/>
  <c r="G379" i="5"/>
  <c r="J283" i="3"/>
  <c r="G282" i="5"/>
  <c r="J223" i="3"/>
  <c r="G222" i="5"/>
  <c r="J883" i="3"/>
  <c r="G882" i="5"/>
  <c r="J823" i="3"/>
  <c r="G822" i="5"/>
  <c r="J751" i="3"/>
  <c r="G750" i="5"/>
  <c r="J679" i="3"/>
  <c r="G678" i="5"/>
  <c r="J595" i="3"/>
  <c r="G594" i="5"/>
  <c r="J523" i="3"/>
  <c r="G522" i="5"/>
  <c r="J451" i="3"/>
  <c r="G450" i="5"/>
  <c r="J391" i="3"/>
  <c r="G390" i="5"/>
  <c r="J319" i="3"/>
  <c r="G318" i="5"/>
  <c r="J246" i="3"/>
  <c r="G245" i="5"/>
  <c r="J870" i="3"/>
  <c r="G869" i="5"/>
  <c r="J798" i="3"/>
  <c r="G797" i="5"/>
  <c r="J726" i="3"/>
  <c r="G725" i="5"/>
  <c r="J654" i="3"/>
  <c r="G653" i="5"/>
  <c r="J582" i="3"/>
  <c r="G581" i="5"/>
  <c r="J510" i="3"/>
  <c r="G509" i="5"/>
  <c r="J438" i="3"/>
  <c r="G437" i="5"/>
  <c r="J366" i="3"/>
  <c r="G365" i="5"/>
  <c r="J306" i="3"/>
  <c r="G305" i="5"/>
  <c r="J821" i="3"/>
  <c r="G820" i="5"/>
  <c r="J737" i="3"/>
  <c r="G736" i="5"/>
  <c r="J665" i="3"/>
  <c r="G664" i="5"/>
  <c r="J593" i="3"/>
  <c r="G592" i="5"/>
  <c r="J521" i="3"/>
  <c r="G520" i="5"/>
  <c r="J449" i="3"/>
  <c r="G448" i="5"/>
  <c r="J377" i="3"/>
  <c r="G376" i="5"/>
  <c r="J317" i="3"/>
  <c r="G316" i="5"/>
  <c r="J220" i="3"/>
  <c r="G219" i="5"/>
  <c r="J856" i="3"/>
  <c r="G855" i="5"/>
  <c r="J784" i="3"/>
  <c r="G783" i="5"/>
  <c r="J724" i="3"/>
  <c r="G723" i="5"/>
  <c r="J652" i="3"/>
  <c r="G651" i="5"/>
  <c r="J580" i="3"/>
  <c r="G579" i="5"/>
  <c r="J508" i="3"/>
  <c r="G507" i="5"/>
  <c r="J436" i="3"/>
  <c r="G435" i="5"/>
  <c r="J364" i="3"/>
  <c r="G363" i="5"/>
  <c r="J292" i="3"/>
  <c r="G291" i="5"/>
  <c r="J855" i="3"/>
  <c r="G854" i="5"/>
  <c r="J783" i="3"/>
  <c r="G782" i="5"/>
  <c r="J711" i="3"/>
  <c r="G710" i="5"/>
  <c r="J639" i="3"/>
  <c r="G638" i="5"/>
  <c r="J579" i="3"/>
  <c r="G578" i="5"/>
  <c r="J507" i="3"/>
  <c r="G506" i="5"/>
  <c r="J435" i="3"/>
  <c r="G434" i="5"/>
  <c r="J363" i="3"/>
  <c r="G362" i="5"/>
  <c r="J278" i="3"/>
  <c r="G277" i="5"/>
  <c r="J830" i="3"/>
  <c r="G829" i="5"/>
  <c r="J770" i="3"/>
  <c r="G769" i="5"/>
  <c r="J874" i="3"/>
  <c r="G873" i="5"/>
  <c r="J862" i="3"/>
  <c r="G861" i="5"/>
  <c r="J850" i="3"/>
  <c r="G849" i="5"/>
  <c r="J838" i="3"/>
  <c r="G837" i="5"/>
  <c r="J826" i="3"/>
  <c r="G825" i="5"/>
  <c r="J814" i="3"/>
  <c r="G813" i="5"/>
  <c r="J802" i="3"/>
  <c r="G801" i="5"/>
  <c r="J790" i="3"/>
  <c r="G789" i="5"/>
  <c r="J778" i="3"/>
  <c r="G777" i="5"/>
  <c r="J766" i="3"/>
  <c r="G765" i="5"/>
  <c r="J754" i="3"/>
  <c r="G753" i="5"/>
  <c r="J742" i="3"/>
  <c r="G741" i="5"/>
  <c r="J730" i="3"/>
  <c r="G729" i="5"/>
  <c r="J718" i="3"/>
  <c r="G717" i="5"/>
  <c r="J706" i="3"/>
  <c r="G705" i="5"/>
  <c r="J694" i="3"/>
  <c r="G693" i="5"/>
  <c r="J682" i="3"/>
  <c r="G681" i="5"/>
  <c r="J670" i="3"/>
  <c r="G669" i="5"/>
  <c r="J658" i="3"/>
  <c r="G657" i="5"/>
  <c r="J646" i="3"/>
  <c r="G645" i="5"/>
  <c r="J634" i="3"/>
  <c r="G633" i="5"/>
  <c r="J622" i="3"/>
  <c r="G621" i="5"/>
  <c r="J610" i="3"/>
  <c r="G609" i="5"/>
  <c r="J598" i="3"/>
  <c r="G597" i="5"/>
  <c r="J586" i="3"/>
  <c r="G585" i="5"/>
  <c r="J574" i="3"/>
  <c r="G573" i="5"/>
  <c r="J562" i="3"/>
  <c r="G561" i="5"/>
  <c r="J550" i="3"/>
  <c r="G549" i="5"/>
  <c r="J538" i="3"/>
  <c r="G537" i="5"/>
  <c r="J526" i="3"/>
  <c r="G525" i="5"/>
  <c r="J514" i="3"/>
  <c r="G513" i="5"/>
  <c r="J502" i="3"/>
  <c r="G501" i="5"/>
  <c r="J490" i="3"/>
  <c r="G489" i="5"/>
  <c r="J478" i="3"/>
  <c r="G477" i="5"/>
  <c r="J466" i="3"/>
  <c r="G465" i="5"/>
  <c r="J454" i="3"/>
  <c r="G453" i="5"/>
  <c r="J442" i="3"/>
  <c r="G441" i="5"/>
  <c r="J430" i="3"/>
  <c r="G429" i="5"/>
  <c r="J418" i="3"/>
  <c r="G417" i="5"/>
  <c r="J406" i="3"/>
  <c r="G405" i="5"/>
  <c r="J394" i="3"/>
  <c r="G393" i="5"/>
  <c r="J382" i="3"/>
  <c r="G381" i="5"/>
  <c r="J370" i="3"/>
  <c r="G369" i="5"/>
  <c r="J358" i="3"/>
  <c r="G357" i="5"/>
  <c r="J346" i="3"/>
  <c r="G345" i="5"/>
  <c r="J334" i="3"/>
  <c r="G333" i="5"/>
  <c r="J322" i="3"/>
  <c r="G321" i="5"/>
  <c r="J310" i="3"/>
  <c r="G309" i="5"/>
  <c r="J298" i="3"/>
  <c r="G297" i="5"/>
  <c r="J286" i="3"/>
  <c r="G285" i="5"/>
  <c r="J273" i="3"/>
  <c r="G272" i="5"/>
  <c r="J261" i="3"/>
  <c r="G260" i="5"/>
  <c r="J249" i="3"/>
  <c r="G248" i="5"/>
  <c r="J237" i="3"/>
  <c r="G236" i="5"/>
  <c r="J225" i="3"/>
  <c r="G224" i="5"/>
  <c r="J213" i="3"/>
  <c r="G212" i="5"/>
  <c r="J848" i="3"/>
  <c r="G847" i="5"/>
  <c r="J776" i="3"/>
  <c r="G775" i="5"/>
  <c r="J704" i="3"/>
  <c r="G703" i="5"/>
  <c r="J632" i="3"/>
  <c r="G631" i="5"/>
  <c r="J548" i="3"/>
  <c r="G547" i="5"/>
  <c r="J476" i="3"/>
  <c r="G475" i="5"/>
  <c r="J404" i="3"/>
  <c r="G403" i="5"/>
  <c r="J332" i="3"/>
  <c r="G331" i="5"/>
  <c r="J259" i="3"/>
  <c r="G258" i="5"/>
  <c r="J835" i="3"/>
  <c r="G834" i="5"/>
  <c r="J763" i="3"/>
  <c r="G762" i="5"/>
  <c r="J691" i="3"/>
  <c r="G690" i="5"/>
  <c r="J619" i="3"/>
  <c r="G618" i="5"/>
  <c r="J547" i="3"/>
  <c r="G546" i="5"/>
  <c r="J463" i="3"/>
  <c r="G462" i="5"/>
  <c r="J379" i="3"/>
  <c r="G378" i="5"/>
  <c r="J307" i="3"/>
  <c r="G306" i="5"/>
  <c r="J222" i="3"/>
  <c r="G221" i="5"/>
  <c r="J822" i="3"/>
  <c r="G821" i="5"/>
  <c r="J762" i="3"/>
  <c r="G761" i="5"/>
  <c r="J690" i="3"/>
  <c r="G689" i="5"/>
  <c r="J618" i="3"/>
  <c r="G617" i="5"/>
  <c r="J546" i="3"/>
  <c r="G545" i="5"/>
  <c r="J474" i="3"/>
  <c r="G473" i="5"/>
  <c r="J402" i="3"/>
  <c r="G401" i="5"/>
  <c r="J330" i="3"/>
  <c r="G329" i="5"/>
  <c r="J281" i="3"/>
  <c r="G280" i="5"/>
  <c r="J233" i="3"/>
  <c r="G232" i="5"/>
  <c r="J857" i="3"/>
  <c r="G856" i="5"/>
  <c r="J749" i="3"/>
  <c r="G748" i="5"/>
  <c r="J677" i="3"/>
  <c r="G676" i="5"/>
  <c r="J605" i="3"/>
  <c r="G604" i="5"/>
  <c r="J533" i="3"/>
  <c r="G532" i="5"/>
  <c r="J461" i="3"/>
  <c r="G460" i="5"/>
  <c r="J389" i="3"/>
  <c r="G388" i="5"/>
  <c r="J305" i="3"/>
  <c r="G304" i="5"/>
  <c r="J232" i="3"/>
  <c r="G231" i="5"/>
  <c r="J844" i="3"/>
  <c r="G843" i="5"/>
  <c r="J772" i="3"/>
  <c r="G771" i="5"/>
  <c r="J688" i="3"/>
  <c r="G687" i="5"/>
  <c r="J604" i="3"/>
  <c r="G603" i="5"/>
  <c r="J532" i="3"/>
  <c r="G531" i="5"/>
  <c r="J472" i="3"/>
  <c r="G471" i="5"/>
  <c r="J400" i="3"/>
  <c r="G399" i="5"/>
  <c r="J328" i="3"/>
  <c r="G327" i="5"/>
  <c r="J255" i="3"/>
  <c r="G254" i="5"/>
  <c r="J879" i="3"/>
  <c r="G878" i="5"/>
  <c r="J807" i="3"/>
  <c r="G806" i="5"/>
  <c r="J735" i="3"/>
  <c r="G734" i="5"/>
  <c r="J663" i="3"/>
  <c r="G662" i="5"/>
  <c r="J591" i="3"/>
  <c r="G590" i="5"/>
  <c r="J519" i="3"/>
  <c r="G518" i="5"/>
  <c r="J423" i="3"/>
  <c r="G422" i="5"/>
  <c r="J351" i="3"/>
  <c r="G350" i="5"/>
  <c r="J291" i="3"/>
  <c r="G290" i="5"/>
  <c r="J854" i="3"/>
  <c r="G853" i="5"/>
  <c r="J782" i="3"/>
  <c r="G781" i="5"/>
  <c r="J873" i="3"/>
  <c r="G872" i="5"/>
  <c r="J861" i="3"/>
  <c r="G860" i="5"/>
  <c r="J849" i="3"/>
  <c r="G848" i="5"/>
  <c r="J837" i="3"/>
  <c r="G836" i="5"/>
  <c r="J825" i="3"/>
  <c r="G824" i="5"/>
  <c r="J813" i="3"/>
  <c r="G812" i="5"/>
  <c r="J801" i="3"/>
  <c r="G800" i="5"/>
  <c r="J789" i="3"/>
  <c r="G788" i="5"/>
  <c r="J777" i="3"/>
  <c r="G776" i="5"/>
  <c r="J765" i="3"/>
  <c r="G764" i="5"/>
  <c r="J753" i="3"/>
  <c r="G752" i="5"/>
  <c r="J741" i="3"/>
  <c r="G740" i="5"/>
  <c r="J729" i="3"/>
  <c r="G728" i="5"/>
  <c r="J717" i="3"/>
  <c r="G716" i="5"/>
  <c r="J705" i="3"/>
  <c r="G704" i="5"/>
  <c r="J693" i="3"/>
  <c r="G692" i="5"/>
  <c r="J681" i="3"/>
  <c r="G680" i="5"/>
  <c r="J669" i="3"/>
  <c r="G668" i="5"/>
  <c r="J657" i="3"/>
  <c r="G656" i="5"/>
  <c r="J645" i="3"/>
  <c r="G644" i="5"/>
  <c r="J633" i="3"/>
  <c r="G632" i="5"/>
  <c r="J621" i="3"/>
  <c r="G620" i="5"/>
  <c r="J609" i="3"/>
  <c r="G608" i="5"/>
  <c r="J597" i="3"/>
  <c r="G596" i="5"/>
  <c r="J585" i="3"/>
  <c r="G584" i="5"/>
  <c r="J573" i="3"/>
  <c r="G572" i="5"/>
  <c r="J561" i="3"/>
  <c r="G560" i="5"/>
  <c r="J549" i="3"/>
  <c r="G548" i="5"/>
  <c r="J537" i="3"/>
  <c r="G536" i="5"/>
  <c r="J525" i="3"/>
  <c r="G524" i="5"/>
  <c r="J513" i="3"/>
  <c r="G512" i="5"/>
  <c r="J501" i="3"/>
  <c r="G500" i="5"/>
  <c r="J489" i="3"/>
  <c r="G488" i="5"/>
  <c r="J477" i="3"/>
  <c r="G476" i="5"/>
  <c r="J465" i="3"/>
  <c r="G464" i="5"/>
  <c r="J453" i="3"/>
  <c r="G452" i="5"/>
  <c r="J441" i="3"/>
  <c r="G440" i="5"/>
  <c r="J429" i="3"/>
  <c r="G428" i="5"/>
  <c r="J417" i="3"/>
  <c r="G416" i="5"/>
  <c r="J405" i="3"/>
  <c r="G404" i="5"/>
  <c r="J393" i="3"/>
  <c r="G392" i="5"/>
  <c r="J381" i="3"/>
  <c r="G380" i="5"/>
  <c r="J369" i="3"/>
  <c r="G368" i="5"/>
  <c r="J357" i="3"/>
  <c r="G356" i="5"/>
  <c r="J345" i="3"/>
  <c r="G344" i="5"/>
  <c r="J333" i="3"/>
  <c r="G332" i="5"/>
  <c r="J321" i="3"/>
  <c r="G320" i="5"/>
  <c r="J309" i="3"/>
  <c r="G308" i="5"/>
  <c r="J297" i="3"/>
  <c r="G296" i="5"/>
  <c r="J285" i="3"/>
  <c r="G284" i="5"/>
  <c r="J272" i="3"/>
  <c r="G271" i="5"/>
  <c r="J260" i="3"/>
  <c r="G259" i="5"/>
  <c r="J248" i="3"/>
  <c r="G247" i="5"/>
  <c r="J236" i="3"/>
  <c r="G235" i="5"/>
  <c r="J224" i="3"/>
  <c r="G223" i="5"/>
  <c r="J212" i="3"/>
  <c r="G211" i="5"/>
  <c r="J168" i="3"/>
  <c r="J120" i="3"/>
  <c r="J72" i="3"/>
  <c r="J36" i="3"/>
  <c r="J179" i="3"/>
  <c r="J131" i="3"/>
  <c r="J83" i="3"/>
  <c r="J47" i="3"/>
  <c r="J178" i="3"/>
  <c r="J130" i="3"/>
  <c r="J82" i="3"/>
  <c r="J189" i="3"/>
  <c r="J141" i="3"/>
  <c r="J93" i="3"/>
  <c r="J21" i="3"/>
  <c r="J164" i="3"/>
  <c r="J116" i="3"/>
  <c r="J68" i="3"/>
  <c r="J32" i="3"/>
  <c r="J211" i="3"/>
  <c r="J163" i="3"/>
  <c r="J115" i="3"/>
  <c r="J67" i="3"/>
  <c r="J31" i="3"/>
  <c r="J210" i="3"/>
  <c r="J162" i="3"/>
  <c r="J114" i="3"/>
  <c r="J66" i="3"/>
  <c r="J30" i="3"/>
  <c r="J209" i="3"/>
  <c r="J161" i="3"/>
  <c r="J125" i="3"/>
  <c r="J77" i="3"/>
  <c r="J41" i="3"/>
  <c r="J172" i="3"/>
  <c r="J136" i="3"/>
  <c r="J88" i="3"/>
  <c r="J40" i="3"/>
  <c r="J192" i="3"/>
  <c r="J144" i="3"/>
  <c r="J84" i="3"/>
  <c r="J155" i="3"/>
  <c r="J107" i="3"/>
  <c r="J59" i="3"/>
  <c r="J23" i="3"/>
  <c r="J190" i="3"/>
  <c r="J142" i="3"/>
  <c r="J94" i="3"/>
  <c r="J22" i="3"/>
  <c r="J177" i="3"/>
  <c r="J129" i="3"/>
  <c r="J81" i="3"/>
  <c r="J33" i="3"/>
  <c r="J188" i="3"/>
  <c r="J140" i="3"/>
  <c r="J92" i="3"/>
  <c r="J20" i="3"/>
  <c r="J175" i="3"/>
  <c r="J127" i="3"/>
  <c r="J79" i="3"/>
  <c r="J43" i="3"/>
  <c r="J186" i="3"/>
  <c r="J138" i="3"/>
  <c r="J90" i="3"/>
  <c r="J185" i="3"/>
  <c r="J137" i="3"/>
  <c r="J89" i="3"/>
  <c r="J184" i="3"/>
  <c r="J124" i="3"/>
  <c r="J76" i="3"/>
  <c r="J28" i="3"/>
  <c r="J183" i="3"/>
  <c r="J135" i="3"/>
  <c r="J180" i="3"/>
  <c r="J132" i="3"/>
  <c r="J96" i="3"/>
  <c r="J24" i="3"/>
  <c r="J191" i="3"/>
  <c r="J143" i="3"/>
  <c r="J95" i="3"/>
  <c r="J35" i="3"/>
  <c r="J202" i="3"/>
  <c r="J154" i="3"/>
  <c r="J106" i="3"/>
  <c r="J58" i="3"/>
  <c r="J46" i="3"/>
  <c r="J201" i="3"/>
  <c r="J153" i="3"/>
  <c r="J105" i="3"/>
  <c r="J57" i="3"/>
  <c r="J45" i="3"/>
  <c r="J176" i="3"/>
  <c r="J128" i="3"/>
  <c r="J80" i="3"/>
  <c r="J187" i="3"/>
  <c r="J139" i="3"/>
  <c r="J91" i="3"/>
  <c r="J174" i="3"/>
  <c r="J126" i="3"/>
  <c r="J78" i="3"/>
  <c r="J42" i="3"/>
  <c r="J197" i="3"/>
  <c r="J149" i="3"/>
  <c r="J101" i="3"/>
  <c r="J53" i="3"/>
  <c r="J29" i="3"/>
  <c r="J208" i="3"/>
  <c r="J160" i="3"/>
  <c r="J112" i="3"/>
  <c r="J64" i="3"/>
  <c r="J195" i="3"/>
  <c r="J159" i="3"/>
  <c r="J111" i="3"/>
  <c r="J206" i="3"/>
  <c r="J194" i="3"/>
  <c r="J182" i="3"/>
  <c r="J170" i="3"/>
  <c r="J158" i="3"/>
  <c r="J146" i="3"/>
  <c r="J134" i="3"/>
  <c r="J122" i="3"/>
  <c r="J110" i="3"/>
  <c r="J98" i="3"/>
  <c r="J86" i="3"/>
  <c r="J74" i="3"/>
  <c r="J62" i="3"/>
  <c r="J50" i="3"/>
  <c r="J38" i="3"/>
  <c r="J26" i="3"/>
  <c r="J204" i="3"/>
  <c r="J156" i="3"/>
  <c r="J108" i="3"/>
  <c r="J60" i="3"/>
  <c r="J48" i="3"/>
  <c r="J203" i="3"/>
  <c r="J167" i="3"/>
  <c r="J119" i="3"/>
  <c r="J71" i="3"/>
  <c r="J166" i="3"/>
  <c r="J118" i="3"/>
  <c r="J70" i="3"/>
  <c r="J34" i="3"/>
  <c r="J165" i="3"/>
  <c r="J117" i="3"/>
  <c r="J69" i="3"/>
  <c r="J200" i="3"/>
  <c r="J152" i="3"/>
  <c r="J104" i="3"/>
  <c r="J56" i="3"/>
  <c r="J44" i="3"/>
  <c r="J199" i="3"/>
  <c r="J151" i="3"/>
  <c r="J103" i="3"/>
  <c r="J55" i="3"/>
  <c r="E2" i="5"/>
  <c r="J198" i="3"/>
  <c r="J150" i="3"/>
  <c r="J102" i="3"/>
  <c r="J54" i="3"/>
  <c r="J173" i="3"/>
  <c r="J113" i="3"/>
  <c r="J65" i="3"/>
  <c r="J196" i="3"/>
  <c r="J148" i="3"/>
  <c r="J100" i="3"/>
  <c r="J52" i="3"/>
  <c r="J207" i="3"/>
  <c r="J171" i="3"/>
  <c r="J147" i="3"/>
  <c r="J123" i="3"/>
  <c r="J99" i="3"/>
  <c r="J87" i="3"/>
  <c r="J63" i="3"/>
  <c r="J51" i="3"/>
  <c r="J39" i="3"/>
  <c r="J27" i="3"/>
  <c r="J205" i="3"/>
  <c r="J193" i="3"/>
  <c r="J181" i="3"/>
  <c r="J169" i="3"/>
  <c r="J157" i="3"/>
  <c r="J145" i="3"/>
  <c r="J133" i="3"/>
  <c r="J121" i="3"/>
  <c r="J109" i="3"/>
  <c r="J97" i="3"/>
  <c r="J85" i="3"/>
  <c r="J73" i="3"/>
  <c r="J61" i="3"/>
  <c r="J49" i="3"/>
  <c r="J37" i="3"/>
  <c r="J25" i="3"/>
  <c r="J75" i="3"/>
  <c r="J2" i="3"/>
  <c r="E62" i="1" a="1"/>
  <c r="E62" i="1" s="1"/>
  <c r="E58" i="1" a="1"/>
  <c r="E58" i="1" s="1"/>
  <c r="E13" i="13" a="1"/>
  <c r="E13" i="13" s="1"/>
  <c r="E13" i="8" a="1"/>
  <c r="E13" i="8" s="1"/>
  <c r="E19" i="7" a="1"/>
  <c r="E19" i="7" s="1"/>
  <c r="E7" i="7" a="1"/>
  <c r="E7" i="7" s="1"/>
  <c r="E37" i="9" a="1"/>
  <c r="E37" i="9" s="1"/>
  <c r="E25" i="9" a="1"/>
  <c r="E25" i="9" s="1"/>
  <c r="E13" i="9" a="1"/>
  <c r="E13" i="9" s="1"/>
  <c r="E19" i="10" a="1"/>
  <c r="E19" i="10" s="1"/>
  <c r="E7" i="10" a="1"/>
  <c r="E7" i="10" s="1"/>
  <c r="E13" i="11" a="1"/>
  <c r="E13" i="11" s="1"/>
  <c r="E55" i="1" a="1"/>
  <c r="E55" i="1" s="1"/>
  <c r="E43" i="1" a="1"/>
  <c r="E43" i="1" s="1"/>
  <c r="E31" i="1" a="1"/>
  <c r="E31" i="1" s="1"/>
  <c r="E19" i="1" a="1"/>
  <c r="E19" i="1" s="1"/>
  <c r="E7" i="1" a="1"/>
  <c r="E7" i="1" s="1"/>
  <c r="E5" i="1" a="1"/>
  <c r="E5" i="1" s="1"/>
  <c r="E12" i="13" a="1"/>
  <c r="E12" i="13" s="1"/>
  <c r="E12" i="8" a="1"/>
  <c r="E12" i="8" s="1"/>
  <c r="E18" i="7" a="1"/>
  <c r="E18" i="7" s="1"/>
  <c r="E6" i="7" a="1"/>
  <c r="E6" i="7" s="1"/>
  <c r="E36" i="9" a="1"/>
  <c r="E36" i="9" s="1"/>
  <c r="E24" i="9" a="1"/>
  <c r="E24" i="9" s="1"/>
  <c r="E12" i="9" a="1"/>
  <c r="E12" i="9" s="1"/>
  <c r="E18" i="10" a="1"/>
  <c r="E18" i="10" s="1"/>
  <c r="E6" i="10" a="1"/>
  <c r="E6" i="10" s="1"/>
  <c r="E12" i="11" a="1"/>
  <c r="E12" i="11" s="1"/>
  <c r="E54" i="1" a="1"/>
  <c r="E54" i="1" s="1"/>
  <c r="E42" i="1" a="1"/>
  <c r="E42" i="1" s="1"/>
  <c r="E30" i="1" a="1"/>
  <c r="E30" i="1" s="1"/>
  <c r="E18" i="1" a="1"/>
  <c r="E18" i="1" s="1"/>
  <c r="E6" i="1" a="1"/>
  <c r="E6" i="1" s="1"/>
  <c r="E4" i="1" a="1"/>
  <c r="E4" i="1" s="1"/>
  <c r="E11" i="13" a="1"/>
  <c r="E11" i="13" s="1"/>
  <c r="E5" i="12" a="1"/>
  <c r="E5" i="12" s="1"/>
  <c r="E11" i="8" a="1"/>
  <c r="E11" i="8" s="1"/>
  <c r="E17" i="7" a="1"/>
  <c r="E17" i="7" s="1"/>
  <c r="E5" i="7" a="1"/>
  <c r="E5" i="7" s="1"/>
  <c r="E35" i="9" a="1"/>
  <c r="E35" i="9" s="1"/>
  <c r="E23" i="9" a="1"/>
  <c r="E23" i="9" s="1"/>
  <c r="E11" i="9" a="1"/>
  <c r="E11" i="9" s="1"/>
  <c r="E29" i="10" a="1"/>
  <c r="E29" i="10" s="1"/>
  <c r="E17" i="10" a="1"/>
  <c r="E17" i="10" s="1"/>
  <c r="E5" i="10" a="1"/>
  <c r="E5" i="10" s="1"/>
  <c r="E11" i="11" a="1"/>
  <c r="E11" i="11" s="1"/>
  <c r="E53" i="1" a="1"/>
  <c r="E53" i="1" s="1"/>
  <c r="E41" i="1" a="1"/>
  <c r="E41" i="1" s="1"/>
  <c r="E29" i="1" a="1"/>
  <c r="E29" i="1" s="1"/>
  <c r="E17" i="1" a="1"/>
  <c r="E17" i="1" s="1"/>
  <c r="E16" i="1" a="1"/>
  <c r="E16" i="1" s="1"/>
  <c r="E10" i="13" a="1"/>
  <c r="E10" i="13" s="1"/>
  <c r="E4" i="12" a="1"/>
  <c r="E4" i="12" s="1"/>
  <c r="E10" i="8" a="1"/>
  <c r="E10" i="8" s="1"/>
  <c r="E16" i="7" a="1"/>
  <c r="E16" i="7" s="1"/>
  <c r="E4" i="7" a="1"/>
  <c r="E4" i="7" s="1"/>
  <c r="E34" i="9" a="1"/>
  <c r="E34" i="9" s="1"/>
  <c r="E22" i="9" a="1"/>
  <c r="E22" i="9" s="1"/>
  <c r="E10" i="9" a="1"/>
  <c r="E10" i="9" s="1"/>
  <c r="E28" i="10" a="1"/>
  <c r="E28" i="10" s="1"/>
  <c r="E16" i="10" a="1"/>
  <c r="E16" i="10" s="1"/>
  <c r="E4" i="10" a="1"/>
  <c r="E4" i="10" s="1"/>
  <c r="E22" i="11" a="1"/>
  <c r="E22" i="11" s="1"/>
  <c r="E10" i="11" a="1"/>
  <c r="E10" i="11" s="1"/>
  <c r="E52" i="1" a="1"/>
  <c r="E52" i="1" s="1"/>
  <c r="E40" i="1" a="1"/>
  <c r="E40" i="1" s="1"/>
  <c r="E28" i="1" a="1"/>
  <c r="E28" i="1" s="1"/>
  <c r="E9" i="13" a="1"/>
  <c r="E9" i="13" s="1"/>
  <c r="E3" i="12" a="1"/>
  <c r="E3" i="12" s="1"/>
  <c r="E9" i="8" a="1"/>
  <c r="E9" i="8" s="1"/>
  <c r="E27" i="7" a="1"/>
  <c r="E27" i="7" s="1"/>
  <c r="E15" i="7" a="1"/>
  <c r="E15" i="7" s="1"/>
  <c r="E3" i="7" a="1"/>
  <c r="E3" i="7" s="1"/>
  <c r="E33" i="9" a="1"/>
  <c r="E33" i="9" s="1"/>
  <c r="E21" i="9" a="1"/>
  <c r="E21" i="9" s="1"/>
  <c r="E9" i="9" a="1"/>
  <c r="E9" i="9" s="1"/>
  <c r="E27" i="10" a="1"/>
  <c r="E27" i="10" s="1"/>
  <c r="E15" i="10" a="1"/>
  <c r="E15" i="10" s="1"/>
  <c r="E3" i="10" a="1"/>
  <c r="E3" i="10" s="1"/>
  <c r="E21" i="11" a="1"/>
  <c r="E21" i="11" s="1"/>
  <c r="E9" i="11" a="1"/>
  <c r="E9" i="11" s="1"/>
  <c r="E51" i="1" a="1"/>
  <c r="E51" i="1" s="1"/>
  <c r="E39" i="1" a="1"/>
  <c r="E39" i="1" s="1"/>
  <c r="E27" i="1" a="1"/>
  <c r="E27" i="1" s="1"/>
  <c r="E15" i="1" a="1"/>
  <c r="E15" i="1" s="1"/>
  <c r="E3" i="1" a="1"/>
  <c r="E3" i="1" s="1"/>
  <c r="E2" i="14" a="1"/>
  <c r="E2" i="14" s="1"/>
  <c r="E8" i="13" a="1"/>
  <c r="E8" i="13" s="1"/>
  <c r="E2" i="12" a="1"/>
  <c r="E2" i="12" s="1"/>
  <c r="E8" i="8" a="1"/>
  <c r="E8" i="8" s="1"/>
  <c r="E26" i="7" a="1"/>
  <c r="E26" i="7" s="1"/>
  <c r="E14" i="7" a="1"/>
  <c r="E14" i="7" s="1"/>
  <c r="E2" i="7" a="1"/>
  <c r="E2" i="7" s="1"/>
  <c r="E32" i="9" a="1"/>
  <c r="E32" i="9" s="1"/>
  <c r="E20" i="9" a="1"/>
  <c r="E20" i="9" s="1"/>
  <c r="E8" i="9" a="1"/>
  <c r="E8" i="9" s="1"/>
  <c r="E26" i="10" a="1"/>
  <c r="E26" i="10" s="1"/>
  <c r="E14" i="10" a="1"/>
  <c r="E14" i="10" s="1"/>
  <c r="E2" i="10" a="1"/>
  <c r="E2" i="10" s="1"/>
  <c r="E20" i="11" a="1"/>
  <c r="E20" i="11" s="1"/>
  <c r="E8" i="11" a="1"/>
  <c r="E8" i="11" s="1"/>
  <c r="E50" i="1" a="1"/>
  <c r="E50" i="1" s="1"/>
  <c r="E38" i="1" a="1"/>
  <c r="E38" i="1" s="1"/>
  <c r="E26" i="1" a="1"/>
  <c r="E26" i="1" s="1"/>
  <c r="E14" i="1" a="1"/>
  <c r="E14" i="1" s="1"/>
  <c r="E2" i="1" a="1"/>
  <c r="E2" i="1" s="1"/>
  <c r="E7" i="13" a="1"/>
  <c r="E7" i="13" s="1"/>
  <c r="E19" i="8" a="1"/>
  <c r="E19" i="8" s="1"/>
  <c r="E7" i="8" a="1"/>
  <c r="E7" i="8" s="1"/>
  <c r="E25" i="7" a="1"/>
  <c r="E25" i="7" s="1"/>
  <c r="E13" i="7" a="1"/>
  <c r="E13" i="7" s="1"/>
  <c r="E31" i="9" a="1"/>
  <c r="E31" i="9" s="1"/>
  <c r="E19" i="9" a="1"/>
  <c r="E19" i="9" s="1"/>
  <c r="E7" i="9" a="1"/>
  <c r="E7" i="9" s="1"/>
  <c r="E25" i="10" a="1"/>
  <c r="E25" i="10" s="1"/>
  <c r="E13" i="10" a="1"/>
  <c r="E13" i="10" s="1"/>
  <c r="E19" i="11" a="1"/>
  <c r="E19" i="11" s="1"/>
  <c r="E7" i="11" a="1"/>
  <c r="E7" i="11" s="1"/>
  <c r="E49" i="1" a="1"/>
  <c r="E49" i="1" s="1"/>
  <c r="E37" i="1" a="1"/>
  <c r="E37" i="1" s="1"/>
  <c r="E25" i="1" a="1"/>
  <c r="E25" i="1" s="1"/>
  <c r="E13" i="1" a="1"/>
  <c r="E13" i="1" s="1"/>
  <c r="E56" i="1" a="1"/>
  <c r="E56" i="1" s="1"/>
  <c r="E12" i="1" a="1"/>
  <c r="E12" i="1" s="1"/>
  <c r="E6" i="13" a="1"/>
  <c r="E6" i="13" s="1"/>
  <c r="E18" i="8" a="1"/>
  <c r="E18" i="8" s="1"/>
  <c r="E6" i="8" a="1"/>
  <c r="E6" i="8" s="1"/>
  <c r="E24" i="7" a="1"/>
  <c r="E24" i="7" s="1"/>
  <c r="E12" i="7" a="1"/>
  <c r="E12" i="7" s="1"/>
  <c r="E30" i="9" a="1"/>
  <c r="E30" i="9" s="1"/>
  <c r="E18" i="9" a="1"/>
  <c r="E18" i="9" s="1"/>
  <c r="E6" i="9" a="1"/>
  <c r="E6" i="9" s="1"/>
  <c r="E24" i="10" a="1"/>
  <c r="E24" i="10" s="1"/>
  <c r="E12" i="10" a="1"/>
  <c r="E12" i="10" s="1"/>
  <c r="E18" i="11" a="1"/>
  <c r="E18" i="11" s="1"/>
  <c r="E6" i="11" a="1"/>
  <c r="E6" i="11" s="1"/>
  <c r="E48" i="1" a="1"/>
  <c r="E48" i="1" s="1"/>
  <c r="E36" i="1" a="1"/>
  <c r="E36" i="1" s="1"/>
  <c r="E24" i="1" a="1"/>
  <c r="E24" i="1" s="1"/>
  <c r="E5" i="13" a="1"/>
  <c r="E5" i="13" s="1"/>
  <c r="E17" i="8" a="1"/>
  <c r="E17" i="8" s="1"/>
  <c r="E5" i="8" a="1"/>
  <c r="E5" i="8" s="1"/>
  <c r="E23" i="7" a="1"/>
  <c r="E23" i="7" s="1"/>
  <c r="E11" i="7" a="1"/>
  <c r="E11" i="7" s="1"/>
  <c r="E29" i="9" a="1"/>
  <c r="E29" i="9" s="1"/>
  <c r="E17" i="9" a="1"/>
  <c r="E17" i="9" s="1"/>
  <c r="E5" i="9" a="1"/>
  <c r="E5" i="9" s="1"/>
  <c r="E23" i="10" a="1"/>
  <c r="E23" i="10" s="1"/>
  <c r="E11" i="10" a="1"/>
  <c r="E11" i="10" s="1"/>
  <c r="E17" i="11" a="1"/>
  <c r="E17" i="11" s="1"/>
  <c r="E5" i="11" a="1"/>
  <c r="E5" i="11" s="1"/>
  <c r="E47" i="1" a="1"/>
  <c r="E47" i="1" s="1"/>
  <c r="E35" i="1" a="1"/>
  <c r="E35" i="1" s="1"/>
  <c r="E23" i="1" a="1"/>
  <c r="E23" i="1" s="1"/>
  <c r="E11" i="1" a="1"/>
  <c r="E11" i="1" s="1"/>
  <c r="E10" i="1" a="1"/>
  <c r="E10" i="1" s="1"/>
  <c r="E4" i="13" a="1"/>
  <c r="E4" i="13" s="1"/>
  <c r="E16" i="8" a="1"/>
  <c r="E16" i="8" s="1"/>
  <c r="E4" i="8" a="1"/>
  <c r="E4" i="8" s="1"/>
  <c r="E22" i="7" a="1"/>
  <c r="E22" i="7" s="1"/>
  <c r="E10" i="7" a="1"/>
  <c r="E10" i="7" s="1"/>
  <c r="E28" i="9" a="1"/>
  <c r="E28" i="9" s="1"/>
  <c r="E16" i="9" a="1"/>
  <c r="E16" i="9" s="1"/>
  <c r="E4" i="9" a="1"/>
  <c r="E4" i="9" s="1"/>
  <c r="E22" i="10" a="1"/>
  <c r="E22" i="10" s="1"/>
  <c r="E10" i="10" a="1"/>
  <c r="E10" i="10" s="1"/>
  <c r="E16" i="11" a="1"/>
  <c r="E16" i="11" s="1"/>
  <c r="E4" i="11" a="1"/>
  <c r="E4" i="11" s="1"/>
  <c r="E46" i="1" a="1"/>
  <c r="E46" i="1" s="1"/>
  <c r="E34" i="1" a="1"/>
  <c r="E34" i="1" s="1"/>
  <c r="E22" i="1" a="1"/>
  <c r="E22" i="1" s="1"/>
  <c r="E3" i="13" a="1"/>
  <c r="E3" i="13" s="1"/>
  <c r="E15" i="8" a="1"/>
  <c r="E15" i="8" s="1"/>
  <c r="E3" i="8" a="1"/>
  <c r="E3" i="8" s="1"/>
  <c r="E21" i="7" a="1"/>
  <c r="E21" i="7" s="1"/>
  <c r="E9" i="7" a="1"/>
  <c r="E9" i="7" s="1"/>
  <c r="E27" i="9" a="1"/>
  <c r="E27" i="9" s="1"/>
  <c r="E15" i="9" a="1"/>
  <c r="E15" i="9" s="1"/>
  <c r="E3" i="9" a="1"/>
  <c r="E3" i="9" s="1"/>
  <c r="E21" i="10" a="1"/>
  <c r="E21" i="10" s="1"/>
  <c r="E9" i="10" a="1"/>
  <c r="E9" i="10" s="1"/>
  <c r="E15" i="11" a="1"/>
  <c r="E15" i="11" s="1"/>
  <c r="E3" i="11" a="1"/>
  <c r="E3" i="11" s="1"/>
  <c r="E45" i="1" a="1"/>
  <c r="E45" i="1" s="1"/>
  <c r="E33" i="1" a="1"/>
  <c r="E33" i="1" s="1"/>
  <c r="E21" i="1" a="1"/>
  <c r="E21" i="1" s="1"/>
  <c r="E9" i="1" a="1"/>
  <c r="E9" i="1" s="1"/>
  <c r="E2" i="13" a="1"/>
  <c r="E2" i="13" s="1"/>
  <c r="E14" i="8" a="1"/>
  <c r="E14" i="8" s="1"/>
  <c r="E2" i="8" a="1"/>
  <c r="E2" i="8" s="1"/>
  <c r="E20" i="7" a="1"/>
  <c r="E20" i="7" s="1"/>
  <c r="E8" i="7" a="1"/>
  <c r="E8" i="7" s="1"/>
  <c r="E38" i="9" a="1"/>
  <c r="E38" i="9" s="1"/>
  <c r="E26" i="9" a="1"/>
  <c r="E26" i="9" s="1"/>
  <c r="E14" i="9" a="1"/>
  <c r="E14" i="9" s="1"/>
  <c r="E2" i="9" a="1"/>
  <c r="E2" i="9" s="1"/>
  <c r="E20" i="10" a="1"/>
  <c r="E20" i="10" s="1"/>
  <c r="E8" i="10" a="1"/>
  <c r="E8" i="10" s="1"/>
  <c r="E14" i="11" a="1"/>
  <c r="E14" i="11" s="1"/>
  <c r="E2" i="11" a="1"/>
  <c r="E2" i="11" s="1"/>
  <c r="E44" i="1" a="1"/>
  <c r="E44" i="1" s="1"/>
  <c r="E32" i="1" a="1"/>
  <c r="E32" i="1" s="1"/>
  <c r="E20" i="1" a="1"/>
  <c r="E20" i="1" s="1"/>
  <c r="E8" i="1" a="1"/>
  <c r="E8" i="1" s="1"/>
  <c r="E10" i="6" a="1"/>
  <c r="E10" i="6" s="1"/>
  <c r="E2" i="6" a="1"/>
  <c r="E2" i="6" s="1"/>
  <c r="E11" i="6" a="1"/>
  <c r="E11" i="6" s="1"/>
  <c r="E12" i="6" a="1"/>
  <c r="E12" i="6" s="1"/>
  <c r="E15" i="6" a="1"/>
  <c r="E15" i="6" s="1"/>
  <c r="E13" i="6" a="1"/>
  <c r="E13" i="6" s="1"/>
  <c r="E16" i="6" a="1"/>
  <c r="E16" i="6" s="1"/>
  <c r="E14" i="6" a="1"/>
  <c r="E14" i="6" s="1"/>
  <c r="E3" i="6" a="1"/>
  <c r="E3" i="6" s="1"/>
  <c r="E4" i="6" a="1"/>
  <c r="E4" i="6" s="1"/>
  <c r="E9" i="6" a="1"/>
  <c r="E9" i="6" s="1"/>
  <c r="E5" i="6" a="1"/>
  <c r="E5" i="6" s="1"/>
  <c r="E6" i="6" a="1"/>
  <c r="E6" i="6" s="1"/>
  <c r="E7" i="6" a="1"/>
  <c r="E7" i="6" s="1"/>
  <c r="E8" i="6" a="1"/>
  <c r="E8" i="6" s="1"/>
  <c r="E59" i="1" a="1"/>
  <c r="E59" i="1" s="1"/>
  <c r="E64" i="1" a="1"/>
  <c r="E64" i="1" s="1"/>
  <c r="E60" i="1" a="1"/>
  <c r="E60" i="1" s="1"/>
  <c r="E57" i="1" a="1"/>
  <c r="E57" i="1" s="1"/>
  <c r="E63" i="1" a="1"/>
  <c r="E63" i="1" s="1"/>
  <c r="E52" i="6" a="1"/>
  <c r="E52" i="6" s="1"/>
  <c r="E40" i="6" a="1"/>
  <c r="E40" i="6" s="1"/>
  <c r="E28" i="6" a="1"/>
  <c r="E28" i="6" s="1"/>
  <c r="E51" i="6" a="1"/>
  <c r="E51" i="6" s="1"/>
  <c r="E39" i="6" a="1"/>
  <c r="E39" i="6" s="1"/>
  <c r="E27" i="6" a="1"/>
  <c r="E27" i="6" s="1"/>
  <c r="E50" i="6" a="1"/>
  <c r="E50" i="6" s="1"/>
  <c r="E38" i="6" a="1"/>
  <c r="E38" i="6" s="1"/>
  <c r="E26" i="6" a="1"/>
  <c r="E26" i="6" s="1"/>
  <c r="E49" i="6" a="1"/>
  <c r="E49" i="6" s="1"/>
  <c r="E37" i="6" a="1"/>
  <c r="E37" i="6" s="1"/>
  <c r="E25" i="6" a="1"/>
  <c r="E25" i="6" s="1"/>
  <c r="E48" i="6" a="1"/>
  <c r="E48" i="6" s="1"/>
  <c r="E36" i="6" a="1"/>
  <c r="E36" i="6" s="1"/>
  <c r="E24" i="6" a="1"/>
  <c r="E24" i="6" s="1"/>
  <c r="E47" i="6" a="1"/>
  <c r="E47" i="6" s="1"/>
  <c r="E35" i="6" a="1"/>
  <c r="E35" i="6" s="1"/>
  <c r="E23" i="6" a="1"/>
  <c r="E23" i="6" s="1"/>
  <c r="E46" i="6" a="1"/>
  <c r="E46" i="6" s="1"/>
  <c r="E34" i="6" a="1"/>
  <c r="E34" i="6" s="1"/>
  <c r="E22" i="6" a="1"/>
  <c r="E22" i="6" s="1"/>
  <c r="E45" i="6" a="1"/>
  <c r="E45" i="6" s="1"/>
  <c r="E33" i="6" a="1"/>
  <c r="E33" i="6" s="1"/>
  <c r="E21" i="6" a="1"/>
  <c r="E21" i="6" s="1"/>
  <c r="E44" i="6" a="1"/>
  <c r="E44" i="6" s="1"/>
  <c r="E32" i="6" a="1"/>
  <c r="E32" i="6" s="1"/>
  <c r="E20" i="6" a="1"/>
  <c r="E20" i="6" s="1"/>
  <c r="E55" i="6" a="1"/>
  <c r="E55" i="6" s="1"/>
  <c r="E43" i="6" a="1"/>
  <c r="E43" i="6" s="1"/>
  <c r="E31" i="6" a="1"/>
  <c r="E31" i="6" s="1"/>
  <c r="E19" i="6" a="1"/>
  <c r="E19" i="6" s="1"/>
  <c r="E61" i="1" a="1"/>
  <c r="E61" i="1" s="1"/>
  <c r="E54" i="6" a="1"/>
  <c r="E54" i="6" s="1"/>
  <c r="E42" i="6" a="1"/>
  <c r="E42" i="6" s="1"/>
  <c r="E30" i="6" a="1"/>
  <c r="E30" i="6" s="1"/>
  <c r="E18" i="6" a="1"/>
  <c r="E18" i="6" s="1"/>
  <c r="E53" i="6" a="1"/>
  <c r="E53" i="6" s="1"/>
  <c r="E41" i="6" a="1"/>
  <c r="E41" i="6" s="1"/>
  <c r="E29" i="6" a="1"/>
  <c r="E29" i="6" s="1"/>
  <c r="E17" i="6" a="1"/>
  <c r="E17" i="6" s="1"/>
  <c r="E5" i="5" l="1"/>
  <c r="E9" i="5"/>
  <c r="E10" i="5"/>
  <c r="E11" i="5"/>
  <c r="E12" i="5"/>
  <c r="E13" i="5"/>
  <c r="E23" i="5"/>
  <c r="E24" i="5"/>
  <c r="E25" i="5"/>
  <c r="E8" i="5"/>
  <c r="A7" i="5"/>
  <c r="B7" i="5"/>
  <c r="C7" i="5"/>
  <c r="D7" i="5"/>
  <c r="A8" i="5"/>
  <c r="B8" i="5"/>
  <c r="C8" i="5"/>
  <c r="D8" i="5"/>
  <c r="A4" i="5"/>
  <c r="B4" i="5"/>
  <c r="C4" i="5"/>
  <c r="D4" i="5"/>
  <c r="A5" i="5"/>
  <c r="B5" i="5"/>
  <c r="C5" i="5"/>
  <c r="D5" i="5"/>
  <c r="A2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3" i="5"/>
  <c r="B3" i="5"/>
  <c r="C3" i="5"/>
  <c r="D3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E26" i="5"/>
  <c r="A27" i="5"/>
  <c r="B27" i="5"/>
  <c r="C27" i="5"/>
  <c r="D27" i="5"/>
  <c r="E27" i="5"/>
  <c r="A28" i="5"/>
  <c r="B28" i="5"/>
  <c r="C28" i="5"/>
  <c r="D28" i="5"/>
  <c r="E28" i="5"/>
  <c r="A29" i="5"/>
  <c r="B29" i="5"/>
  <c r="C29" i="5"/>
  <c r="D29" i="5"/>
  <c r="E29" i="5"/>
  <c r="A30" i="5"/>
  <c r="B30" i="5"/>
  <c r="C30" i="5"/>
  <c r="D30" i="5"/>
  <c r="E30" i="5"/>
  <c r="A31" i="5"/>
  <c r="B31" i="5"/>
  <c r="C31" i="5"/>
  <c r="D31" i="5"/>
  <c r="E31" i="5"/>
  <c r="A32" i="5"/>
  <c r="B32" i="5"/>
  <c r="C32" i="5"/>
  <c r="D32" i="5"/>
  <c r="E32" i="5"/>
  <c r="A33" i="5"/>
  <c r="B33" i="5"/>
  <c r="C33" i="5"/>
  <c r="D33" i="5"/>
  <c r="E33" i="5"/>
  <c r="A34" i="5"/>
  <c r="B34" i="5"/>
  <c r="C34" i="5"/>
  <c r="D34" i="5"/>
  <c r="E34" i="5"/>
  <c r="A35" i="5"/>
  <c r="B35" i="5"/>
  <c r="C35" i="5"/>
  <c r="D35" i="5"/>
  <c r="E35" i="5"/>
  <c r="A36" i="5"/>
  <c r="B36" i="5"/>
  <c r="C36" i="5"/>
  <c r="D36" i="5"/>
  <c r="E36" i="5"/>
  <c r="A37" i="5"/>
  <c r="B37" i="5"/>
  <c r="C37" i="5"/>
  <c r="D37" i="5"/>
  <c r="E37" i="5"/>
  <c r="A38" i="5"/>
  <c r="B38" i="5"/>
  <c r="C38" i="5"/>
  <c r="D38" i="5"/>
  <c r="E38" i="5"/>
  <c r="A39" i="5"/>
  <c r="B39" i="5"/>
  <c r="C39" i="5"/>
  <c r="D39" i="5"/>
  <c r="E39" i="5"/>
  <c r="A40" i="5"/>
  <c r="B40" i="5"/>
  <c r="C40" i="5"/>
  <c r="D40" i="5"/>
  <c r="E40" i="5"/>
  <c r="A41" i="5"/>
  <c r="B41" i="5"/>
  <c r="C41" i="5"/>
  <c r="D41" i="5"/>
  <c r="E41" i="5"/>
  <c r="A42" i="5"/>
  <c r="B42" i="5"/>
  <c r="C42" i="5"/>
  <c r="D42" i="5"/>
  <c r="E42" i="5"/>
  <c r="A43" i="5"/>
  <c r="B43" i="5"/>
  <c r="C43" i="5"/>
  <c r="D43" i="5"/>
  <c r="E43" i="5"/>
  <c r="A44" i="5"/>
  <c r="B44" i="5"/>
  <c r="C44" i="5"/>
  <c r="D44" i="5"/>
  <c r="E44" i="5"/>
  <c r="A45" i="5"/>
  <c r="B45" i="5"/>
  <c r="C45" i="5"/>
  <c r="D45" i="5"/>
  <c r="E45" i="5"/>
  <c r="A46" i="5"/>
  <c r="B46" i="5"/>
  <c r="C46" i="5"/>
  <c r="D46" i="5"/>
  <c r="E46" i="5"/>
  <c r="A47" i="5"/>
  <c r="B47" i="5"/>
  <c r="C47" i="5"/>
  <c r="D47" i="5"/>
  <c r="E47" i="5"/>
  <c r="A48" i="5"/>
  <c r="B48" i="5"/>
  <c r="C48" i="5"/>
  <c r="D48" i="5"/>
  <c r="E48" i="5"/>
  <c r="A49" i="5"/>
  <c r="B49" i="5"/>
  <c r="C49" i="5"/>
  <c r="D49" i="5"/>
  <c r="E49" i="5"/>
  <c r="A50" i="5"/>
  <c r="B50" i="5"/>
  <c r="C50" i="5"/>
  <c r="D50" i="5"/>
  <c r="E50" i="5"/>
  <c r="A51" i="5"/>
  <c r="B51" i="5"/>
  <c r="C51" i="5"/>
  <c r="D51" i="5"/>
  <c r="E51" i="5"/>
  <c r="A52" i="5"/>
  <c r="B52" i="5"/>
  <c r="C52" i="5"/>
  <c r="D52" i="5"/>
  <c r="E52" i="5"/>
  <c r="A53" i="5"/>
  <c r="B53" i="5"/>
  <c r="C53" i="5"/>
  <c r="D53" i="5"/>
  <c r="E53" i="5"/>
  <c r="A54" i="5"/>
  <c r="B54" i="5"/>
  <c r="C54" i="5"/>
  <c r="D54" i="5"/>
  <c r="E54" i="5"/>
  <c r="A55" i="5"/>
  <c r="B55" i="5"/>
  <c r="C55" i="5"/>
  <c r="D55" i="5"/>
  <c r="E55" i="5"/>
  <c r="A56" i="5"/>
  <c r="B56" i="5"/>
  <c r="C56" i="5"/>
  <c r="D56" i="5"/>
  <c r="E56" i="5"/>
  <c r="A57" i="5"/>
  <c r="B57" i="5"/>
  <c r="C57" i="5"/>
  <c r="D57" i="5"/>
  <c r="E57" i="5"/>
  <c r="A58" i="5"/>
  <c r="B58" i="5"/>
  <c r="C58" i="5"/>
  <c r="D58" i="5"/>
  <c r="E58" i="5"/>
  <c r="A59" i="5"/>
  <c r="B59" i="5"/>
  <c r="C59" i="5"/>
  <c r="D59" i="5"/>
  <c r="E59" i="5"/>
  <c r="A60" i="5"/>
  <c r="B60" i="5"/>
  <c r="C60" i="5"/>
  <c r="D60" i="5"/>
  <c r="E60" i="5"/>
  <c r="A61" i="5"/>
  <c r="B61" i="5"/>
  <c r="C61" i="5"/>
  <c r="D61" i="5"/>
  <c r="E61" i="5"/>
  <c r="A62" i="5"/>
  <c r="B62" i="5"/>
  <c r="C62" i="5"/>
  <c r="D62" i="5"/>
  <c r="E62" i="5"/>
  <c r="A63" i="5"/>
  <c r="B63" i="5"/>
  <c r="C63" i="5"/>
  <c r="D63" i="5"/>
  <c r="E63" i="5"/>
  <c r="A64" i="5"/>
  <c r="B64" i="5"/>
  <c r="C64" i="5"/>
  <c r="D64" i="5"/>
  <c r="E64" i="5"/>
  <c r="A65" i="5"/>
  <c r="B65" i="5"/>
  <c r="C65" i="5"/>
  <c r="D65" i="5"/>
  <c r="E65" i="5"/>
  <c r="A66" i="5"/>
  <c r="B66" i="5"/>
  <c r="C66" i="5"/>
  <c r="D66" i="5"/>
  <c r="E66" i="5"/>
  <c r="A67" i="5"/>
  <c r="B67" i="5"/>
  <c r="C67" i="5"/>
  <c r="D67" i="5"/>
  <c r="E67" i="5"/>
  <c r="A68" i="5"/>
  <c r="B68" i="5"/>
  <c r="C68" i="5"/>
  <c r="D68" i="5"/>
  <c r="E68" i="5"/>
  <c r="A69" i="5"/>
  <c r="B69" i="5"/>
  <c r="C69" i="5"/>
  <c r="D69" i="5"/>
  <c r="E69" i="5"/>
  <c r="A70" i="5"/>
  <c r="B70" i="5"/>
  <c r="C70" i="5"/>
  <c r="D70" i="5"/>
  <c r="E70" i="5"/>
  <c r="A71" i="5"/>
  <c r="B71" i="5"/>
  <c r="C71" i="5"/>
  <c r="D71" i="5"/>
  <c r="E71" i="5"/>
  <c r="A72" i="5"/>
  <c r="B72" i="5"/>
  <c r="C72" i="5"/>
  <c r="D72" i="5"/>
  <c r="E72" i="5"/>
  <c r="A73" i="5"/>
  <c r="B73" i="5"/>
  <c r="C73" i="5"/>
  <c r="D73" i="5"/>
  <c r="E73" i="5"/>
  <c r="A74" i="5"/>
  <c r="B74" i="5"/>
  <c r="C74" i="5"/>
  <c r="D74" i="5"/>
  <c r="E74" i="5"/>
  <c r="A75" i="5"/>
  <c r="B75" i="5"/>
  <c r="C75" i="5"/>
  <c r="D75" i="5"/>
  <c r="E75" i="5"/>
  <c r="A76" i="5"/>
  <c r="B76" i="5"/>
  <c r="C76" i="5"/>
  <c r="D76" i="5"/>
  <c r="E76" i="5"/>
  <c r="A77" i="5"/>
  <c r="B77" i="5"/>
  <c r="C77" i="5"/>
  <c r="D77" i="5"/>
  <c r="E77" i="5"/>
  <c r="A78" i="5"/>
  <c r="B78" i="5"/>
  <c r="C78" i="5"/>
  <c r="D78" i="5"/>
  <c r="E78" i="5"/>
  <c r="A79" i="5"/>
  <c r="B79" i="5"/>
  <c r="C79" i="5"/>
  <c r="D79" i="5"/>
  <c r="E79" i="5"/>
  <c r="A80" i="5"/>
  <c r="B80" i="5"/>
  <c r="C80" i="5"/>
  <c r="D80" i="5"/>
  <c r="E80" i="5"/>
  <c r="A81" i="5"/>
  <c r="B81" i="5"/>
  <c r="C81" i="5"/>
  <c r="D81" i="5"/>
  <c r="E81" i="5"/>
  <c r="A82" i="5"/>
  <c r="B82" i="5"/>
  <c r="C82" i="5"/>
  <c r="D82" i="5"/>
  <c r="E82" i="5"/>
  <c r="A83" i="5"/>
  <c r="B83" i="5"/>
  <c r="C83" i="5"/>
  <c r="D83" i="5"/>
  <c r="E83" i="5"/>
  <c r="A84" i="5"/>
  <c r="B84" i="5"/>
  <c r="C84" i="5"/>
  <c r="D84" i="5"/>
  <c r="E84" i="5"/>
  <c r="A85" i="5"/>
  <c r="B85" i="5"/>
  <c r="C85" i="5"/>
  <c r="D85" i="5"/>
  <c r="E85" i="5"/>
  <c r="A86" i="5"/>
  <c r="B86" i="5"/>
  <c r="C86" i="5"/>
  <c r="D86" i="5"/>
  <c r="E86" i="5"/>
  <c r="A87" i="5"/>
  <c r="B87" i="5"/>
  <c r="C87" i="5"/>
  <c r="D87" i="5"/>
  <c r="E87" i="5"/>
  <c r="A88" i="5"/>
  <c r="B88" i="5"/>
  <c r="C88" i="5"/>
  <c r="D88" i="5"/>
  <c r="E88" i="5"/>
  <c r="A89" i="5"/>
  <c r="B89" i="5"/>
  <c r="C89" i="5"/>
  <c r="D89" i="5"/>
  <c r="E89" i="5"/>
  <c r="A90" i="5"/>
  <c r="B90" i="5"/>
  <c r="C90" i="5"/>
  <c r="D90" i="5"/>
  <c r="E90" i="5"/>
  <c r="A91" i="5"/>
  <c r="B91" i="5"/>
  <c r="C91" i="5"/>
  <c r="D91" i="5"/>
  <c r="E91" i="5"/>
  <c r="A92" i="5"/>
  <c r="B92" i="5"/>
  <c r="C92" i="5"/>
  <c r="D92" i="5"/>
  <c r="E92" i="5"/>
  <c r="A93" i="5"/>
  <c r="B93" i="5"/>
  <c r="C93" i="5"/>
  <c r="D93" i="5"/>
  <c r="E93" i="5"/>
  <c r="A94" i="5"/>
  <c r="B94" i="5"/>
  <c r="C94" i="5"/>
  <c r="D94" i="5"/>
  <c r="E94" i="5"/>
  <c r="A95" i="5"/>
  <c r="B95" i="5"/>
  <c r="C95" i="5"/>
  <c r="D95" i="5"/>
  <c r="E95" i="5"/>
  <c r="A96" i="5"/>
  <c r="B96" i="5"/>
  <c r="C96" i="5"/>
  <c r="D96" i="5"/>
  <c r="E96" i="5"/>
  <c r="A97" i="5"/>
  <c r="B97" i="5"/>
  <c r="C97" i="5"/>
  <c r="D97" i="5"/>
  <c r="E97" i="5"/>
  <c r="A98" i="5"/>
  <c r="B98" i="5"/>
  <c r="C98" i="5"/>
  <c r="D98" i="5"/>
  <c r="E98" i="5"/>
  <c r="A99" i="5"/>
  <c r="B99" i="5"/>
  <c r="C99" i="5"/>
  <c r="D99" i="5"/>
  <c r="E99" i="5"/>
  <c r="A100" i="5"/>
  <c r="B100" i="5"/>
  <c r="C100" i="5"/>
  <c r="D100" i="5"/>
  <c r="E100" i="5"/>
  <c r="A101" i="5"/>
  <c r="B101" i="5"/>
  <c r="C101" i="5"/>
  <c r="D101" i="5"/>
  <c r="E101" i="5"/>
  <c r="A102" i="5"/>
  <c r="B102" i="5"/>
  <c r="C102" i="5"/>
  <c r="D102" i="5"/>
  <c r="E102" i="5"/>
  <c r="A103" i="5"/>
  <c r="B103" i="5"/>
  <c r="C103" i="5"/>
  <c r="D103" i="5"/>
  <c r="E103" i="5"/>
  <c r="A104" i="5"/>
  <c r="B104" i="5"/>
  <c r="C104" i="5"/>
  <c r="D104" i="5"/>
  <c r="E104" i="5"/>
  <c r="A105" i="5"/>
  <c r="B105" i="5"/>
  <c r="C105" i="5"/>
  <c r="D105" i="5"/>
  <c r="E105" i="5"/>
  <c r="A106" i="5"/>
  <c r="B106" i="5"/>
  <c r="C106" i="5"/>
  <c r="D106" i="5"/>
  <c r="E106" i="5"/>
  <c r="A107" i="5"/>
  <c r="B107" i="5"/>
  <c r="C107" i="5"/>
  <c r="D107" i="5"/>
  <c r="E107" i="5"/>
  <c r="A108" i="5"/>
  <c r="B108" i="5"/>
  <c r="C108" i="5"/>
  <c r="D108" i="5"/>
  <c r="E108" i="5"/>
  <c r="A109" i="5"/>
  <c r="B109" i="5"/>
  <c r="C109" i="5"/>
  <c r="D109" i="5"/>
  <c r="E109" i="5"/>
  <c r="A110" i="5"/>
  <c r="B110" i="5"/>
  <c r="C110" i="5"/>
  <c r="D110" i="5"/>
  <c r="E110" i="5"/>
  <c r="A111" i="5"/>
  <c r="B111" i="5"/>
  <c r="C111" i="5"/>
  <c r="D111" i="5"/>
  <c r="E111" i="5"/>
  <c r="A112" i="5"/>
  <c r="B112" i="5"/>
  <c r="C112" i="5"/>
  <c r="D112" i="5"/>
  <c r="E112" i="5"/>
  <c r="A113" i="5"/>
  <c r="B113" i="5"/>
  <c r="C113" i="5"/>
  <c r="D113" i="5"/>
  <c r="E113" i="5"/>
  <c r="A114" i="5"/>
  <c r="B114" i="5"/>
  <c r="C114" i="5"/>
  <c r="D114" i="5"/>
  <c r="E114" i="5"/>
  <c r="A115" i="5"/>
  <c r="B115" i="5"/>
  <c r="C115" i="5"/>
  <c r="D115" i="5"/>
  <c r="E115" i="5"/>
  <c r="A116" i="5"/>
  <c r="B116" i="5"/>
  <c r="C116" i="5"/>
  <c r="D116" i="5"/>
  <c r="E116" i="5"/>
  <c r="A117" i="5"/>
  <c r="B117" i="5"/>
  <c r="C117" i="5"/>
  <c r="D117" i="5"/>
  <c r="E117" i="5"/>
  <c r="A118" i="5"/>
  <c r="B118" i="5"/>
  <c r="C118" i="5"/>
  <c r="D118" i="5"/>
  <c r="E118" i="5"/>
  <c r="A119" i="5"/>
  <c r="B119" i="5"/>
  <c r="C119" i="5"/>
  <c r="D119" i="5"/>
  <c r="E119" i="5"/>
  <c r="A120" i="5"/>
  <c r="B120" i="5"/>
  <c r="C120" i="5"/>
  <c r="D120" i="5"/>
  <c r="E120" i="5"/>
  <c r="A121" i="5"/>
  <c r="B121" i="5"/>
  <c r="C121" i="5"/>
  <c r="D121" i="5"/>
  <c r="E121" i="5"/>
  <c r="A122" i="5"/>
  <c r="B122" i="5"/>
  <c r="C122" i="5"/>
  <c r="D122" i="5"/>
  <c r="E122" i="5"/>
  <c r="A123" i="5"/>
  <c r="B123" i="5"/>
  <c r="C123" i="5"/>
  <c r="D123" i="5"/>
  <c r="E123" i="5"/>
  <c r="A124" i="5"/>
  <c r="B124" i="5"/>
  <c r="C124" i="5"/>
  <c r="D124" i="5"/>
  <c r="E124" i="5"/>
  <c r="A125" i="5"/>
  <c r="B125" i="5"/>
  <c r="C125" i="5"/>
  <c r="D125" i="5"/>
  <c r="E125" i="5"/>
  <c r="A126" i="5"/>
  <c r="B126" i="5"/>
  <c r="C126" i="5"/>
  <c r="D126" i="5"/>
  <c r="E126" i="5"/>
  <c r="A127" i="5"/>
  <c r="B127" i="5"/>
  <c r="C127" i="5"/>
  <c r="D127" i="5"/>
  <c r="E127" i="5"/>
  <c r="A128" i="5"/>
  <c r="B128" i="5"/>
  <c r="C128" i="5"/>
  <c r="D128" i="5"/>
  <c r="E128" i="5"/>
  <c r="A129" i="5"/>
  <c r="B129" i="5"/>
  <c r="C129" i="5"/>
  <c r="D129" i="5"/>
  <c r="E129" i="5"/>
  <c r="A130" i="5"/>
  <c r="B130" i="5"/>
  <c r="C130" i="5"/>
  <c r="D130" i="5"/>
  <c r="E130" i="5"/>
  <c r="A131" i="5"/>
  <c r="B131" i="5"/>
  <c r="C131" i="5"/>
  <c r="D131" i="5"/>
  <c r="E131" i="5"/>
  <c r="A132" i="5"/>
  <c r="B132" i="5"/>
  <c r="C132" i="5"/>
  <c r="D132" i="5"/>
  <c r="E132" i="5"/>
  <c r="A133" i="5"/>
  <c r="B133" i="5"/>
  <c r="C133" i="5"/>
  <c r="D133" i="5"/>
  <c r="E133" i="5"/>
  <c r="A134" i="5"/>
  <c r="B134" i="5"/>
  <c r="C134" i="5"/>
  <c r="D134" i="5"/>
  <c r="E134" i="5"/>
  <c r="A135" i="5"/>
  <c r="B135" i="5"/>
  <c r="C135" i="5"/>
  <c r="D135" i="5"/>
  <c r="E135" i="5"/>
  <c r="A136" i="5"/>
  <c r="B136" i="5"/>
  <c r="C136" i="5"/>
  <c r="D136" i="5"/>
  <c r="E136" i="5"/>
  <c r="A137" i="5"/>
  <c r="B137" i="5"/>
  <c r="C137" i="5"/>
  <c r="D137" i="5"/>
  <c r="E137" i="5"/>
  <c r="A138" i="5"/>
  <c r="B138" i="5"/>
  <c r="C138" i="5"/>
  <c r="D138" i="5"/>
  <c r="E138" i="5"/>
  <c r="A139" i="5"/>
  <c r="B139" i="5"/>
  <c r="C139" i="5"/>
  <c r="D139" i="5"/>
  <c r="E139" i="5"/>
  <c r="A140" i="5"/>
  <c r="B140" i="5"/>
  <c r="C140" i="5"/>
  <c r="D140" i="5"/>
  <c r="E140" i="5"/>
  <c r="A141" i="5"/>
  <c r="B141" i="5"/>
  <c r="C141" i="5"/>
  <c r="D141" i="5"/>
  <c r="E141" i="5"/>
  <c r="A142" i="5"/>
  <c r="B142" i="5"/>
  <c r="C142" i="5"/>
  <c r="D142" i="5"/>
  <c r="E142" i="5"/>
  <c r="A143" i="5"/>
  <c r="B143" i="5"/>
  <c r="C143" i="5"/>
  <c r="D143" i="5"/>
  <c r="E143" i="5"/>
  <c r="A144" i="5"/>
  <c r="B144" i="5"/>
  <c r="C144" i="5"/>
  <c r="D144" i="5"/>
  <c r="E144" i="5"/>
  <c r="A145" i="5"/>
  <c r="B145" i="5"/>
  <c r="C145" i="5"/>
  <c r="D145" i="5"/>
  <c r="E145" i="5"/>
  <c r="A146" i="5"/>
  <c r="B146" i="5"/>
  <c r="C146" i="5"/>
  <c r="D146" i="5"/>
  <c r="E146" i="5"/>
  <c r="A147" i="5"/>
  <c r="B147" i="5"/>
  <c r="C147" i="5"/>
  <c r="D147" i="5"/>
  <c r="E147" i="5"/>
  <c r="A148" i="5"/>
  <c r="B148" i="5"/>
  <c r="C148" i="5"/>
  <c r="D148" i="5"/>
  <c r="E148" i="5"/>
  <c r="A149" i="5"/>
  <c r="B149" i="5"/>
  <c r="C149" i="5"/>
  <c r="D149" i="5"/>
  <c r="E149" i="5"/>
  <c r="A150" i="5"/>
  <c r="B150" i="5"/>
  <c r="C150" i="5"/>
  <c r="D150" i="5"/>
  <c r="E150" i="5"/>
  <c r="A151" i="5"/>
  <c r="B151" i="5"/>
  <c r="C151" i="5"/>
  <c r="D151" i="5"/>
  <c r="E151" i="5"/>
  <c r="A152" i="5"/>
  <c r="B152" i="5"/>
  <c r="C152" i="5"/>
  <c r="D152" i="5"/>
  <c r="E152" i="5"/>
  <c r="A153" i="5"/>
  <c r="B153" i="5"/>
  <c r="C153" i="5"/>
  <c r="D153" i="5"/>
  <c r="E153" i="5"/>
  <c r="A154" i="5"/>
  <c r="B154" i="5"/>
  <c r="C154" i="5"/>
  <c r="D154" i="5"/>
  <c r="E154" i="5"/>
  <c r="A155" i="5"/>
  <c r="B155" i="5"/>
  <c r="C155" i="5"/>
  <c r="D155" i="5"/>
  <c r="E155" i="5"/>
  <c r="A156" i="5"/>
  <c r="B156" i="5"/>
  <c r="C156" i="5"/>
  <c r="D156" i="5"/>
  <c r="E156" i="5"/>
  <c r="A157" i="5"/>
  <c r="B157" i="5"/>
  <c r="C157" i="5"/>
  <c r="D157" i="5"/>
  <c r="E157" i="5"/>
  <c r="A158" i="5"/>
  <c r="B158" i="5"/>
  <c r="C158" i="5"/>
  <c r="D158" i="5"/>
  <c r="E158" i="5"/>
  <c r="A159" i="5"/>
  <c r="B159" i="5"/>
  <c r="C159" i="5"/>
  <c r="D159" i="5"/>
  <c r="E159" i="5"/>
  <c r="A160" i="5"/>
  <c r="B160" i="5"/>
  <c r="C160" i="5"/>
  <c r="D160" i="5"/>
  <c r="E160" i="5"/>
  <c r="A161" i="5"/>
  <c r="B161" i="5"/>
  <c r="C161" i="5"/>
  <c r="D161" i="5"/>
  <c r="E161" i="5"/>
  <c r="A162" i="5"/>
  <c r="B162" i="5"/>
  <c r="C162" i="5"/>
  <c r="D162" i="5"/>
  <c r="E162" i="5"/>
  <c r="A163" i="5"/>
  <c r="B163" i="5"/>
  <c r="C163" i="5"/>
  <c r="D163" i="5"/>
  <c r="E163" i="5"/>
  <c r="A164" i="5"/>
  <c r="B164" i="5"/>
  <c r="C164" i="5"/>
  <c r="D164" i="5"/>
  <c r="E164" i="5"/>
  <c r="A165" i="5"/>
  <c r="B165" i="5"/>
  <c r="C165" i="5"/>
  <c r="D165" i="5"/>
  <c r="E165" i="5"/>
  <c r="A166" i="5"/>
  <c r="B166" i="5"/>
  <c r="C166" i="5"/>
  <c r="D166" i="5"/>
  <c r="E166" i="5"/>
  <c r="A167" i="5"/>
  <c r="B167" i="5"/>
  <c r="C167" i="5"/>
  <c r="D167" i="5"/>
  <c r="E167" i="5"/>
  <c r="A168" i="5"/>
  <c r="B168" i="5"/>
  <c r="C168" i="5"/>
  <c r="D168" i="5"/>
  <c r="E168" i="5"/>
  <c r="A169" i="5"/>
  <c r="B169" i="5"/>
  <c r="C169" i="5"/>
  <c r="D169" i="5"/>
  <c r="E169" i="5"/>
  <c r="A170" i="5"/>
  <c r="B170" i="5"/>
  <c r="C170" i="5"/>
  <c r="D170" i="5"/>
  <c r="E170" i="5"/>
  <c r="A171" i="5"/>
  <c r="B171" i="5"/>
  <c r="C171" i="5"/>
  <c r="D171" i="5"/>
  <c r="E171" i="5"/>
  <c r="A172" i="5"/>
  <c r="B172" i="5"/>
  <c r="C172" i="5"/>
  <c r="D172" i="5"/>
  <c r="E172" i="5"/>
  <c r="A173" i="5"/>
  <c r="B173" i="5"/>
  <c r="C173" i="5"/>
  <c r="D173" i="5"/>
  <c r="E173" i="5"/>
  <c r="A174" i="5"/>
  <c r="B174" i="5"/>
  <c r="C174" i="5"/>
  <c r="D174" i="5"/>
  <c r="E174" i="5"/>
  <c r="A175" i="5"/>
  <c r="B175" i="5"/>
  <c r="C175" i="5"/>
  <c r="D175" i="5"/>
  <c r="E175" i="5"/>
  <c r="A176" i="5"/>
  <c r="B176" i="5"/>
  <c r="C176" i="5"/>
  <c r="D176" i="5"/>
  <c r="E176" i="5"/>
  <c r="A177" i="5"/>
  <c r="B177" i="5"/>
  <c r="C177" i="5"/>
  <c r="D177" i="5"/>
  <c r="E177" i="5"/>
  <c r="A178" i="5"/>
  <c r="B178" i="5"/>
  <c r="C178" i="5"/>
  <c r="D178" i="5"/>
  <c r="E178" i="5"/>
  <c r="A179" i="5"/>
  <c r="B179" i="5"/>
  <c r="C179" i="5"/>
  <c r="D179" i="5"/>
  <c r="E179" i="5"/>
  <c r="A180" i="5"/>
  <c r="B180" i="5"/>
  <c r="C180" i="5"/>
  <c r="D180" i="5"/>
  <c r="E180" i="5"/>
  <c r="A181" i="5"/>
  <c r="B181" i="5"/>
  <c r="C181" i="5"/>
  <c r="D181" i="5"/>
  <c r="E181" i="5"/>
  <c r="A182" i="5"/>
  <c r="B182" i="5"/>
  <c r="C182" i="5"/>
  <c r="D182" i="5"/>
  <c r="E182" i="5"/>
  <c r="A183" i="5"/>
  <c r="B183" i="5"/>
  <c r="C183" i="5"/>
  <c r="D183" i="5"/>
  <c r="E183" i="5"/>
  <c r="A184" i="5"/>
  <c r="B184" i="5"/>
  <c r="C184" i="5"/>
  <c r="D184" i="5"/>
  <c r="E184" i="5"/>
  <c r="A185" i="5"/>
  <c r="B185" i="5"/>
  <c r="C185" i="5"/>
  <c r="D185" i="5"/>
  <c r="E185" i="5"/>
  <c r="A186" i="5"/>
  <c r="B186" i="5"/>
  <c r="C186" i="5"/>
  <c r="D186" i="5"/>
  <c r="E186" i="5"/>
  <c r="A187" i="5"/>
  <c r="B187" i="5"/>
  <c r="C187" i="5"/>
  <c r="D187" i="5"/>
  <c r="E187" i="5"/>
  <c r="A188" i="5"/>
  <c r="B188" i="5"/>
  <c r="C188" i="5"/>
  <c r="D188" i="5"/>
  <c r="E188" i="5"/>
  <c r="A189" i="5"/>
  <c r="B189" i="5"/>
  <c r="C189" i="5"/>
  <c r="D189" i="5"/>
  <c r="E189" i="5"/>
  <c r="A190" i="5"/>
  <c r="B190" i="5"/>
  <c r="C190" i="5"/>
  <c r="D190" i="5"/>
  <c r="E190" i="5"/>
  <c r="A191" i="5"/>
  <c r="B191" i="5"/>
  <c r="C191" i="5"/>
  <c r="D191" i="5"/>
  <c r="E191" i="5"/>
  <c r="A192" i="5"/>
  <c r="B192" i="5"/>
  <c r="C192" i="5"/>
  <c r="D192" i="5"/>
  <c r="E192" i="5"/>
  <c r="A193" i="5"/>
  <c r="B193" i="5"/>
  <c r="C193" i="5"/>
  <c r="D193" i="5"/>
  <c r="E193" i="5"/>
  <c r="A194" i="5"/>
  <c r="B194" i="5"/>
  <c r="C194" i="5"/>
  <c r="D194" i="5"/>
  <c r="E194" i="5"/>
  <c r="A195" i="5"/>
  <c r="B195" i="5"/>
  <c r="C195" i="5"/>
  <c r="D195" i="5"/>
  <c r="E195" i="5"/>
  <c r="A196" i="5"/>
  <c r="B196" i="5"/>
  <c r="C196" i="5"/>
  <c r="D196" i="5"/>
  <c r="E196" i="5"/>
  <c r="A197" i="5"/>
  <c r="B197" i="5"/>
  <c r="C197" i="5"/>
  <c r="D197" i="5"/>
  <c r="E197" i="5"/>
  <c r="A198" i="5"/>
  <c r="B198" i="5"/>
  <c r="C198" i="5"/>
  <c r="D198" i="5"/>
  <c r="E198" i="5"/>
  <c r="A199" i="5"/>
  <c r="B199" i="5"/>
  <c r="C199" i="5"/>
  <c r="D199" i="5"/>
  <c r="E199" i="5"/>
  <c r="A200" i="5"/>
  <c r="B200" i="5"/>
  <c r="C200" i="5"/>
  <c r="D200" i="5"/>
  <c r="E200" i="5"/>
  <c r="A201" i="5"/>
  <c r="B201" i="5"/>
  <c r="C201" i="5"/>
  <c r="D201" i="5"/>
  <c r="E201" i="5"/>
  <c r="A202" i="5"/>
  <c r="B202" i="5"/>
  <c r="C202" i="5"/>
  <c r="D202" i="5"/>
  <c r="E202" i="5"/>
  <c r="A203" i="5"/>
  <c r="B203" i="5"/>
  <c r="C203" i="5"/>
  <c r="D203" i="5"/>
  <c r="E203" i="5"/>
  <c r="A204" i="5"/>
  <c r="B204" i="5"/>
  <c r="C204" i="5"/>
  <c r="D204" i="5"/>
  <c r="E204" i="5"/>
  <c r="A205" i="5"/>
  <c r="B205" i="5"/>
  <c r="C205" i="5"/>
  <c r="D205" i="5"/>
  <c r="E205" i="5"/>
  <c r="A206" i="5"/>
  <c r="B206" i="5"/>
  <c r="C206" i="5"/>
  <c r="D206" i="5"/>
  <c r="E206" i="5"/>
  <c r="A207" i="5"/>
  <c r="B207" i="5"/>
  <c r="C207" i="5"/>
  <c r="D207" i="5"/>
  <c r="E207" i="5"/>
  <c r="A208" i="5"/>
  <c r="B208" i="5"/>
  <c r="C208" i="5"/>
  <c r="D208" i="5"/>
  <c r="E208" i="5"/>
  <c r="A209" i="5"/>
  <c r="B209" i="5"/>
  <c r="C209" i="5"/>
  <c r="D209" i="5"/>
  <c r="E209" i="5"/>
  <c r="A210" i="5"/>
  <c r="B210" i="5"/>
  <c r="C210" i="5"/>
  <c r="D210" i="5"/>
  <c r="E210" i="5"/>
  <c r="A211" i="5"/>
  <c r="B211" i="5"/>
  <c r="C211" i="5"/>
  <c r="D211" i="5"/>
  <c r="E211" i="5"/>
  <c r="A212" i="5"/>
  <c r="B212" i="5"/>
  <c r="C212" i="5"/>
  <c r="D212" i="5"/>
  <c r="E212" i="5"/>
  <c r="A213" i="5"/>
  <c r="B213" i="5"/>
  <c r="C213" i="5"/>
  <c r="D213" i="5"/>
  <c r="E213" i="5"/>
  <c r="A214" i="5"/>
  <c r="B214" i="5"/>
  <c r="C214" i="5"/>
  <c r="D214" i="5"/>
  <c r="E214" i="5"/>
  <c r="A215" i="5"/>
  <c r="B215" i="5"/>
  <c r="C215" i="5"/>
  <c r="D215" i="5"/>
  <c r="E215" i="5"/>
  <c r="A216" i="5"/>
  <c r="B216" i="5"/>
  <c r="C216" i="5"/>
  <c r="D216" i="5"/>
  <c r="E216" i="5"/>
  <c r="A217" i="5"/>
  <c r="B217" i="5"/>
  <c r="C217" i="5"/>
  <c r="D217" i="5"/>
  <c r="E217" i="5"/>
  <c r="A218" i="5"/>
  <c r="B218" i="5"/>
  <c r="C218" i="5"/>
  <c r="D218" i="5"/>
  <c r="E218" i="5"/>
  <c r="A219" i="5"/>
  <c r="B219" i="5"/>
  <c r="C219" i="5"/>
  <c r="D219" i="5"/>
  <c r="E219" i="5"/>
  <c r="A220" i="5"/>
  <c r="B220" i="5"/>
  <c r="C220" i="5"/>
  <c r="D220" i="5"/>
  <c r="E220" i="5"/>
  <c r="A221" i="5"/>
  <c r="B221" i="5"/>
  <c r="C221" i="5"/>
  <c r="D221" i="5"/>
  <c r="E221" i="5"/>
  <c r="A222" i="5"/>
  <c r="B222" i="5"/>
  <c r="C222" i="5"/>
  <c r="D222" i="5"/>
  <c r="E222" i="5"/>
  <c r="A223" i="5"/>
  <c r="B223" i="5"/>
  <c r="C223" i="5"/>
  <c r="D223" i="5"/>
  <c r="E223" i="5"/>
  <c r="A224" i="5"/>
  <c r="B224" i="5"/>
  <c r="C224" i="5"/>
  <c r="D224" i="5"/>
  <c r="E224" i="5"/>
  <c r="A225" i="5"/>
  <c r="B225" i="5"/>
  <c r="C225" i="5"/>
  <c r="D225" i="5"/>
  <c r="E225" i="5"/>
  <c r="A226" i="5"/>
  <c r="B226" i="5"/>
  <c r="C226" i="5"/>
  <c r="D226" i="5"/>
  <c r="E226" i="5"/>
  <c r="A227" i="5"/>
  <c r="B227" i="5"/>
  <c r="C227" i="5"/>
  <c r="D227" i="5"/>
  <c r="E227" i="5"/>
  <c r="A228" i="5"/>
  <c r="B228" i="5"/>
  <c r="C228" i="5"/>
  <c r="D228" i="5"/>
  <c r="E228" i="5"/>
  <c r="A229" i="5"/>
  <c r="B229" i="5"/>
  <c r="C229" i="5"/>
  <c r="D229" i="5"/>
  <c r="E229" i="5"/>
  <c r="A230" i="5"/>
  <c r="B230" i="5"/>
  <c r="C230" i="5"/>
  <c r="D230" i="5"/>
  <c r="E230" i="5"/>
  <c r="A231" i="5"/>
  <c r="B231" i="5"/>
  <c r="C231" i="5"/>
  <c r="D231" i="5"/>
  <c r="E231" i="5"/>
  <c r="A232" i="5"/>
  <c r="B232" i="5"/>
  <c r="C232" i="5"/>
  <c r="D232" i="5"/>
  <c r="E232" i="5"/>
  <c r="A233" i="5"/>
  <c r="B233" i="5"/>
  <c r="C233" i="5"/>
  <c r="D233" i="5"/>
  <c r="E233" i="5"/>
  <c r="A234" i="5"/>
  <c r="B234" i="5"/>
  <c r="C234" i="5"/>
  <c r="D234" i="5"/>
  <c r="E234" i="5"/>
  <c r="A235" i="5"/>
  <c r="B235" i="5"/>
  <c r="C235" i="5"/>
  <c r="D235" i="5"/>
  <c r="E235" i="5"/>
  <c r="A236" i="5"/>
  <c r="B236" i="5"/>
  <c r="C236" i="5"/>
  <c r="D236" i="5"/>
  <c r="E236" i="5"/>
  <c r="A237" i="5"/>
  <c r="B237" i="5"/>
  <c r="C237" i="5"/>
  <c r="D237" i="5"/>
  <c r="E237" i="5"/>
  <c r="A238" i="5"/>
  <c r="B238" i="5"/>
  <c r="C238" i="5"/>
  <c r="D238" i="5"/>
  <c r="E238" i="5"/>
  <c r="A239" i="5"/>
  <c r="B239" i="5"/>
  <c r="C239" i="5"/>
  <c r="D239" i="5"/>
  <c r="E239" i="5"/>
  <c r="A240" i="5"/>
  <c r="B240" i="5"/>
  <c r="C240" i="5"/>
  <c r="D240" i="5"/>
  <c r="E240" i="5"/>
  <c r="A241" i="5"/>
  <c r="B241" i="5"/>
  <c r="C241" i="5"/>
  <c r="D241" i="5"/>
  <c r="E241" i="5"/>
  <c r="A242" i="5"/>
  <c r="B242" i="5"/>
  <c r="C242" i="5"/>
  <c r="D242" i="5"/>
  <c r="E242" i="5"/>
  <c r="A243" i="5"/>
  <c r="B243" i="5"/>
  <c r="C243" i="5"/>
  <c r="D243" i="5"/>
  <c r="E243" i="5"/>
  <c r="A244" i="5"/>
  <c r="B244" i="5"/>
  <c r="C244" i="5"/>
  <c r="D244" i="5"/>
  <c r="E244" i="5"/>
  <c r="A245" i="5"/>
  <c r="B245" i="5"/>
  <c r="C245" i="5"/>
  <c r="D245" i="5"/>
  <c r="E245" i="5"/>
  <c r="A246" i="5"/>
  <c r="B246" i="5"/>
  <c r="C246" i="5"/>
  <c r="D246" i="5"/>
  <c r="E246" i="5"/>
  <c r="A247" i="5"/>
  <c r="B247" i="5"/>
  <c r="C247" i="5"/>
  <c r="D247" i="5"/>
  <c r="E247" i="5"/>
  <c r="A248" i="5"/>
  <c r="B248" i="5"/>
  <c r="C248" i="5"/>
  <c r="D248" i="5"/>
  <c r="E248" i="5"/>
  <c r="A249" i="5"/>
  <c r="B249" i="5"/>
  <c r="C249" i="5"/>
  <c r="D249" i="5"/>
  <c r="E249" i="5"/>
  <c r="A250" i="5"/>
  <c r="B250" i="5"/>
  <c r="C250" i="5"/>
  <c r="D250" i="5"/>
  <c r="E250" i="5"/>
  <c r="A251" i="5"/>
  <c r="B251" i="5"/>
  <c r="C251" i="5"/>
  <c r="D251" i="5"/>
  <c r="E251" i="5"/>
  <c r="A252" i="5"/>
  <c r="B252" i="5"/>
  <c r="C252" i="5"/>
  <c r="D252" i="5"/>
  <c r="E252" i="5"/>
  <c r="A253" i="5"/>
  <c r="B253" i="5"/>
  <c r="C253" i="5"/>
  <c r="D253" i="5"/>
  <c r="E253" i="5"/>
  <c r="A254" i="5"/>
  <c r="B254" i="5"/>
  <c r="C254" i="5"/>
  <c r="D254" i="5"/>
  <c r="E254" i="5"/>
  <c r="A255" i="5"/>
  <c r="B255" i="5"/>
  <c r="C255" i="5"/>
  <c r="D255" i="5"/>
  <c r="E255" i="5"/>
  <c r="A256" i="5"/>
  <c r="B256" i="5"/>
  <c r="C256" i="5"/>
  <c r="D256" i="5"/>
  <c r="E256" i="5"/>
  <c r="A257" i="5"/>
  <c r="B257" i="5"/>
  <c r="C257" i="5"/>
  <c r="D257" i="5"/>
  <c r="E257" i="5"/>
  <c r="A258" i="5"/>
  <c r="B258" i="5"/>
  <c r="C258" i="5"/>
  <c r="D258" i="5"/>
  <c r="E258" i="5"/>
  <c r="A259" i="5"/>
  <c r="B259" i="5"/>
  <c r="C259" i="5"/>
  <c r="D259" i="5"/>
  <c r="E259" i="5"/>
  <c r="A260" i="5"/>
  <c r="B260" i="5"/>
  <c r="C260" i="5"/>
  <c r="D260" i="5"/>
  <c r="E260" i="5"/>
  <c r="A261" i="5"/>
  <c r="B261" i="5"/>
  <c r="C261" i="5"/>
  <c r="D261" i="5"/>
  <c r="E261" i="5"/>
  <c r="A262" i="5"/>
  <c r="B262" i="5"/>
  <c r="C262" i="5"/>
  <c r="D262" i="5"/>
  <c r="E262" i="5"/>
  <c r="A263" i="5"/>
  <c r="B263" i="5"/>
  <c r="C263" i="5"/>
  <c r="D263" i="5"/>
  <c r="E263" i="5"/>
  <c r="A264" i="5"/>
  <c r="B264" i="5"/>
  <c r="C264" i="5"/>
  <c r="D264" i="5"/>
  <c r="E264" i="5"/>
  <c r="A265" i="5"/>
  <c r="B265" i="5"/>
  <c r="C265" i="5"/>
  <c r="D265" i="5"/>
  <c r="E265" i="5"/>
  <c r="A266" i="5"/>
  <c r="B266" i="5"/>
  <c r="C266" i="5"/>
  <c r="D266" i="5"/>
  <c r="E266" i="5"/>
  <c r="A267" i="5"/>
  <c r="B267" i="5"/>
  <c r="C267" i="5"/>
  <c r="D267" i="5"/>
  <c r="E267" i="5"/>
  <c r="A268" i="5"/>
  <c r="B268" i="5"/>
  <c r="C268" i="5"/>
  <c r="D268" i="5"/>
  <c r="E268" i="5"/>
  <c r="A269" i="5"/>
  <c r="B269" i="5"/>
  <c r="C269" i="5"/>
  <c r="D269" i="5"/>
  <c r="E269" i="5"/>
  <c r="A270" i="5"/>
  <c r="B270" i="5"/>
  <c r="C270" i="5"/>
  <c r="D270" i="5"/>
  <c r="E270" i="5"/>
  <c r="A271" i="5"/>
  <c r="B271" i="5"/>
  <c r="C271" i="5"/>
  <c r="D271" i="5"/>
  <c r="E271" i="5"/>
  <c r="A272" i="5"/>
  <c r="B272" i="5"/>
  <c r="C272" i="5"/>
  <c r="D272" i="5"/>
  <c r="E272" i="5"/>
  <c r="A273" i="5"/>
  <c r="B273" i="5"/>
  <c r="C273" i="5"/>
  <c r="D273" i="5"/>
  <c r="E273" i="5"/>
  <c r="A274" i="5"/>
  <c r="B274" i="5"/>
  <c r="C274" i="5"/>
  <c r="D274" i="5"/>
  <c r="E274" i="5"/>
  <c r="A275" i="5"/>
  <c r="B275" i="5"/>
  <c r="C275" i="5"/>
  <c r="D275" i="5"/>
  <c r="E275" i="5"/>
  <c r="A276" i="5"/>
  <c r="B276" i="5"/>
  <c r="C276" i="5"/>
  <c r="D276" i="5"/>
  <c r="E276" i="5"/>
  <c r="A277" i="5"/>
  <c r="B277" i="5"/>
  <c r="C277" i="5"/>
  <c r="D277" i="5"/>
  <c r="E277" i="5"/>
  <c r="A278" i="5"/>
  <c r="B278" i="5"/>
  <c r="C278" i="5"/>
  <c r="D278" i="5"/>
  <c r="E278" i="5"/>
  <c r="A279" i="5"/>
  <c r="B279" i="5"/>
  <c r="C279" i="5"/>
  <c r="D279" i="5"/>
  <c r="E279" i="5"/>
  <c r="A280" i="5"/>
  <c r="B280" i="5"/>
  <c r="C280" i="5"/>
  <c r="D280" i="5"/>
  <c r="E280" i="5"/>
  <c r="A281" i="5"/>
  <c r="B281" i="5"/>
  <c r="C281" i="5"/>
  <c r="D281" i="5"/>
  <c r="E281" i="5"/>
  <c r="A282" i="5"/>
  <c r="B282" i="5"/>
  <c r="C282" i="5"/>
  <c r="D282" i="5"/>
  <c r="E282" i="5"/>
  <c r="A283" i="5"/>
  <c r="B283" i="5"/>
  <c r="C283" i="5"/>
  <c r="D283" i="5"/>
  <c r="E283" i="5"/>
  <c r="A284" i="5"/>
  <c r="B284" i="5"/>
  <c r="C284" i="5"/>
  <c r="D284" i="5"/>
  <c r="E284" i="5"/>
  <c r="A285" i="5"/>
  <c r="B285" i="5"/>
  <c r="C285" i="5"/>
  <c r="D285" i="5"/>
  <c r="E285" i="5"/>
  <c r="A286" i="5"/>
  <c r="B286" i="5"/>
  <c r="C286" i="5"/>
  <c r="D286" i="5"/>
  <c r="E286" i="5"/>
  <c r="A287" i="5"/>
  <c r="B287" i="5"/>
  <c r="C287" i="5"/>
  <c r="D287" i="5"/>
  <c r="E287" i="5"/>
  <c r="A288" i="5"/>
  <c r="B288" i="5"/>
  <c r="C288" i="5"/>
  <c r="D288" i="5"/>
  <c r="E288" i="5"/>
  <c r="A289" i="5"/>
  <c r="B289" i="5"/>
  <c r="C289" i="5"/>
  <c r="D289" i="5"/>
  <c r="E289" i="5"/>
  <c r="A290" i="5"/>
  <c r="B290" i="5"/>
  <c r="C290" i="5"/>
  <c r="D290" i="5"/>
  <c r="E290" i="5"/>
  <c r="A291" i="5"/>
  <c r="B291" i="5"/>
  <c r="C291" i="5"/>
  <c r="D291" i="5"/>
  <c r="E291" i="5"/>
  <c r="A292" i="5"/>
  <c r="B292" i="5"/>
  <c r="C292" i="5"/>
  <c r="D292" i="5"/>
  <c r="E292" i="5"/>
  <c r="A293" i="5"/>
  <c r="B293" i="5"/>
  <c r="C293" i="5"/>
  <c r="D293" i="5"/>
  <c r="E293" i="5"/>
  <c r="A294" i="5"/>
  <c r="B294" i="5"/>
  <c r="C294" i="5"/>
  <c r="D294" i="5"/>
  <c r="E294" i="5"/>
  <c r="A295" i="5"/>
  <c r="B295" i="5"/>
  <c r="C295" i="5"/>
  <c r="D295" i="5"/>
  <c r="E295" i="5"/>
  <c r="A296" i="5"/>
  <c r="B296" i="5"/>
  <c r="C296" i="5"/>
  <c r="D296" i="5"/>
  <c r="E296" i="5"/>
  <c r="A297" i="5"/>
  <c r="B297" i="5"/>
  <c r="C297" i="5"/>
  <c r="D297" i="5"/>
  <c r="E297" i="5"/>
  <c r="A298" i="5"/>
  <c r="B298" i="5"/>
  <c r="C298" i="5"/>
  <c r="D298" i="5"/>
  <c r="E298" i="5"/>
  <c r="A299" i="5"/>
  <c r="B299" i="5"/>
  <c r="C299" i="5"/>
  <c r="D299" i="5"/>
  <c r="E299" i="5"/>
  <c r="A300" i="5"/>
  <c r="B300" i="5"/>
  <c r="C300" i="5"/>
  <c r="D300" i="5"/>
  <c r="E300" i="5"/>
  <c r="A301" i="5"/>
  <c r="B301" i="5"/>
  <c r="C301" i="5"/>
  <c r="D301" i="5"/>
  <c r="E301" i="5"/>
  <c r="A302" i="5"/>
  <c r="B302" i="5"/>
  <c r="C302" i="5"/>
  <c r="D302" i="5"/>
  <c r="E302" i="5"/>
  <c r="A303" i="5"/>
  <c r="B303" i="5"/>
  <c r="C303" i="5"/>
  <c r="D303" i="5"/>
  <c r="E303" i="5"/>
  <c r="A304" i="5"/>
  <c r="B304" i="5"/>
  <c r="C304" i="5"/>
  <c r="D304" i="5"/>
  <c r="E304" i="5"/>
  <c r="A305" i="5"/>
  <c r="B305" i="5"/>
  <c r="C305" i="5"/>
  <c r="D305" i="5"/>
  <c r="E305" i="5"/>
  <c r="A306" i="5"/>
  <c r="B306" i="5"/>
  <c r="C306" i="5"/>
  <c r="D306" i="5"/>
  <c r="E306" i="5"/>
  <c r="A307" i="5"/>
  <c r="B307" i="5"/>
  <c r="C307" i="5"/>
  <c r="D307" i="5"/>
  <c r="E307" i="5"/>
  <c r="A308" i="5"/>
  <c r="B308" i="5"/>
  <c r="C308" i="5"/>
  <c r="D308" i="5"/>
  <c r="E308" i="5"/>
  <c r="A309" i="5"/>
  <c r="B309" i="5"/>
  <c r="C309" i="5"/>
  <c r="D309" i="5"/>
  <c r="E309" i="5"/>
  <c r="A310" i="5"/>
  <c r="B310" i="5"/>
  <c r="C310" i="5"/>
  <c r="D310" i="5"/>
  <c r="E310" i="5"/>
  <c r="A311" i="5"/>
  <c r="B311" i="5"/>
  <c r="C311" i="5"/>
  <c r="D311" i="5"/>
  <c r="E311" i="5"/>
  <c r="A312" i="5"/>
  <c r="B312" i="5"/>
  <c r="C312" i="5"/>
  <c r="D312" i="5"/>
  <c r="E312" i="5"/>
  <c r="A313" i="5"/>
  <c r="B313" i="5"/>
  <c r="C313" i="5"/>
  <c r="D313" i="5"/>
  <c r="E313" i="5"/>
  <c r="A314" i="5"/>
  <c r="B314" i="5"/>
  <c r="C314" i="5"/>
  <c r="D314" i="5"/>
  <c r="E314" i="5"/>
  <c r="A315" i="5"/>
  <c r="B315" i="5"/>
  <c r="C315" i="5"/>
  <c r="D315" i="5"/>
  <c r="E315" i="5"/>
  <c r="A316" i="5"/>
  <c r="B316" i="5"/>
  <c r="C316" i="5"/>
  <c r="D316" i="5"/>
  <c r="E316" i="5"/>
  <c r="A317" i="5"/>
  <c r="B317" i="5"/>
  <c r="C317" i="5"/>
  <c r="D317" i="5"/>
  <c r="E317" i="5"/>
  <c r="A318" i="5"/>
  <c r="B318" i="5"/>
  <c r="C318" i="5"/>
  <c r="D318" i="5"/>
  <c r="E318" i="5"/>
  <c r="A319" i="5"/>
  <c r="B319" i="5"/>
  <c r="C319" i="5"/>
  <c r="D319" i="5"/>
  <c r="E319" i="5"/>
  <c r="A320" i="5"/>
  <c r="B320" i="5"/>
  <c r="C320" i="5"/>
  <c r="D320" i="5"/>
  <c r="E320" i="5"/>
  <c r="A321" i="5"/>
  <c r="B321" i="5"/>
  <c r="C321" i="5"/>
  <c r="D321" i="5"/>
  <c r="E321" i="5"/>
  <c r="A322" i="5"/>
  <c r="B322" i="5"/>
  <c r="C322" i="5"/>
  <c r="D322" i="5"/>
  <c r="E322" i="5"/>
  <c r="A323" i="5"/>
  <c r="B323" i="5"/>
  <c r="C323" i="5"/>
  <c r="D323" i="5"/>
  <c r="E323" i="5"/>
  <c r="A324" i="5"/>
  <c r="B324" i="5"/>
  <c r="C324" i="5"/>
  <c r="D324" i="5"/>
  <c r="E324" i="5"/>
  <c r="A325" i="5"/>
  <c r="B325" i="5"/>
  <c r="C325" i="5"/>
  <c r="D325" i="5"/>
  <c r="E325" i="5"/>
  <c r="A326" i="5"/>
  <c r="B326" i="5"/>
  <c r="C326" i="5"/>
  <c r="D326" i="5"/>
  <c r="E326" i="5"/>
  <c r="A327" i="5"/>
  <c r="B327" i="5"/>
  <c r="C327" i="5"/>
  <c r="D327" i="5"/>
  <c r="E327" i="5"/>
  <c r="A328" i="5"/>
  <c r="B328" i="5"/>
  <c r="C328" i="5"/>
  <c r="D328" i="5"/>
  <c r="E328" i="5"/>
  <c r="A329" i="5"/>
  <c r="B329" i="5"/>
  <c r="C329" i="5"/>
  <c r="D329" i="5"/>
  <c r="E329" i="5"/>
  <c r="A330" i="5"/>
  <c r="B330" i="5"/>
  <c r="C330" i="5"/>
  <c r="D330" i="5"/>
  <c r="E330" i="5"/>
  <c r="A331" i="5"/>
  <c r="B331" i="5"/>
  <c r="C331" i="5"/>
  <c r="D331" i="5"/>
  <c r="E331" i="5"/>
  <c r="A332" i="5"/>
  <c r="B332" i="5"/>
  <c r="C332" i="5"/>
  <c r="D332" i="5"/>
  <c r="E332" i="5"/>
  <c r="A333" i="5"/>
  <c r="B333" i="5"/>
  <c r="C333" i="5"/>
  <c r="D333" i="5"/>
  <c r="E333" i="5"/>
  <c r="A334" i="5"/>
  <c r="B334" i="5"/>
  <c r="C334" i="5"/>
  <c r="D334" i="5"/>
  <c r="E334" i="5"/>
  <c r="A335" i="5"/>
  <c r="B335" i="5"/>
  <c r="C335" i="5"/>
  <c r="D335" i="5"/>
  <c r="E335" i="5"/>
  <c r="A336" i="5"/>
  <c r="B336" i="5"/>
  <c r="C336" i="5"/>
  <c r="D336" i="5"/>
  <c r="E336" i="5"/>
  <c r="A337" i="5"/>
  <c r="B337" i="5"/>
  <c r="C337" i="5"/>
  <c r="D337" i="5"/>
  <c r="E337" i="5"/>
  <c r="A338" i="5"/>
  <c r="B338" i="5"/>
  <c r="C338" i="5"/>
  <c r="D338" i="5"/>
  <c r="E338" i="5"/>
  <c r="A339" i="5"/>
  <c r="B339" i="5"/>
  <c r="C339" i="5"/>
  <c r="D339" i="5"/>
  <c r="E339" i="5"/>
  <c r="A340" i="5"/>
  <c r="B340" i="5"/>
  <c r="C340" i="5"/>
  <c r="D340" i="5"/>
  <c r="E340" i="5"/>
  <c r="A341" i="5"/>
  <c r="B341" i="5"/>
  <c r="C341" i="5"/>
  <c r="D341" i="5"/>
  <c r="E341" i="5"/>
  <c r="A342" i="5"/>
  <c r="B342" i="5"/>
  <c r="C342" i="5"/>
  <c r="D342" i="5"/>
  <c r="E342" i="5"/>
  <c r="A343" i="5"/>
  <c r="B343" i="5"/>
  <c r="C343" i="5"/>
  <c r="D343" i="5"/>
  <c r="E343" i="5"/>
  <c r="A344" i="5"/>
  <c r="B344" i="5"/>
  <c r="C344" i="5"/>
  <c r="D344" i="5"/>
  <c r="E344" i="5"/>
  <c r="A345" i="5"/>
  <c r="B345" i="5"/>
  <c r="C345" i="5"/>
  <c r="D345" i="5"/>
  <c r="E345" i="5"/>
  <c r="A346" i="5"/>
  <c r="B346" i="5"/>
  <c r="C346" i="5"/>
  <c r="D346" i="5"/>
  <c r="E346" i="5"/>
  <c r="A347" i="5"/>
  <c r="B347" i="5"/>
  <c r="C347" i="5"/>
  <c r="D347" i="5"/>
  <c r="E347" i="5"/>
  <c r="A348" i="5"/>
  <c r="B348" i="5"/>
  <c r="C348" i="5"/>
  <c r="D348" i="5"/>
  <c r="E348" i="5"/>
  <c r="A349" i="5"/>
  <c r="B349" i="5"/>
  <c r="C349" i="5"/>
  <c r="D349" i="5"/>
  <c r="E349" i="5"/>
  <c r="A350" i="5"/>
  <c r="B350" i="5"/>
  <c r="C350" i="5"/>
  <c r="D350" i="5"/>
  <c r="E350" i="5"/>
  <c r="A351" i="5"/>
  <c r="B351" i="5"/>
  <c r="C351" i="5"/>
  <c r="D351" i="5"/>
  <c r="E351" i="5"/>
  <c r="A352" i="5"/>
  <c r="B352" i="5"/>
  <c r="C352" i="5"/>
  <c r="D352" i="5"/>
  <c r="E352" i="5"/>
  <c r="A353" i="5"/>
  <c r="B353" i="5"/>
  <c r="C353" i="5"/>
  <c r="D353" i="5"/>
  <c r="E353" i="5"/>
  <c r="A354" i="5"/>
  <c r="B354" i="5"/>
  <c r="C354" i="5"/>
  <c r="D354" i="5"/>
  <c r="E354" i="5"/>
  <c r="A355" i="5"/>
  <c r="B355" i="5"/>
  <c r="C355" i="5"/>
  <c r="D355" i="5"/>
  <c r="E355" i="5"/>
  <c r="A356" i="5"/>
  <c r="B356" i="5"/>
  <c r="C356" i="5"/>
  <c r="D356" i="5"/>
  <c r="E356" i="5"/>
  <c r="A357" i="5"/>
  <c r="B357" i="5"/>
  <c r="C357" i="5"/>
  <c r="D357" i="5"/>
  <c r="E357" i="5"/>
  <c r="A358" i="5"/>
  <c r="B358" i="5"/>
  <c r="C358" i="5"/>
  <c r="D358" i="5"/>
  <c r="E358" i="5"/>
  <c r="A359" i="5"/>
  <c r="B359" i="5"/>
  <c r="C359" i="5"/>
  <c r="D359" i="5"/>
  <c r="E359" i="5"/>
  <c r="A360" i="5"/>
  <c r="B360" i="5"/>
  <c r="C360" i="5"/>
  <c r="D360" i="5"/>
  <c r="E360" i="5"/>
  <c r="A361" i="5"/>
  <c r="B361" i="5"/>
  <c r="C361" i="5"/>
  <c r="D361" i="5"/>
  <c r="E361" i="5"/>
  <c r="A362" i="5"/>
  <c r="B362" i="5"/>
  <c r="C362" i="5"/>
  <c r="D362" i="5"/>
  <c r="E362" i="5"/>
  <c r="A363" i="5"/>
  <c r="B363" i="5"/>
  <c r="C363" i="5"/>
  <c r="D363" i="5"/>
  <c r="E363" i="5"/>
  <c r="A364" i="5"/>
  <c r="B364" i="5"/>
  <c r="C364" i="5"/>
  <c r="D364" i="5"/>
  <c r="E364" i="5"/>
  <c r="A365" i="5"/>
  <c r="B365" i="5"/>
  <c r="C365" i="5"/>
  <c r="D365" i="5"/>
  <c r="E365" i="5"/>
  <c r="A366" i="5"/>
  <c r="B366" i="5"/>
  <c r="C366" i="5"/>
  <c r="D366" i="5"/>
  <c r="E366" i="5"/>
  <c r="A367" i="5"/>
  <c r="B367" i="5"/>
  <c r="C367" i="5"/>
  <c r="D367" i="5"/>
  <c r="E367" i="5"/>
  <c r="A368" i="5"/>
  <c r="B368" i="5"/>
  <c r="C368" i="5"/>
  <c r="D368" i="5"/>
  <c r="E368" i="5"/>
  <c r="A369" i="5"/>
  <c r="B369" i="5"/>
  <c r="C369" i="5"/>
  <c r="D369" i="5"/>
  <c r="E369" i="5"/>
  <c r="A370" i="5"/>
  <c r="B370" i="5"/>
  <c r="C370" i="5"/>
  <c r="D370" i="5"/>
  <c r="E370" i="5"/>
  <c r="A371" i="5"/>
  <c r="B371" i="5"/>
  <c r="C371" i="5"/>
  <c r="D371" i="5"/>
  <c r="E371" i="5"/>
  <c r="A372" i="5"/>
  <c r="B372" i="5"/>
  <c r="C372" i="5"/>
  <c r="D372" i="5"/>
  <c r="E372" i="5"/>
  <c r="A373" i="5"/>
  <c r="B373" i="5"/>
  <c r="C373" i="5"/>
  <c r="D373" i="5"/>
  <c r="E373" i="5"/>
  <c r="A374" i="5"/>
  <c r="B374" i="5"/>
  <c r="C374" i="5"/>
  <c r="D374" i="5"/>
  <c r="E374" i="5"/>
  <c r="A375" i="5"/>
  <c r="B375" i="5"/>
  <c r="C375" i="5"/>
  <c r="D375" i="5"/>
  <c r="E375" i="5"/>
  <c r="A376" i="5"/>
  <c r="B376" i="5"/>
  <c r="C376" i="5"/>
  <c r="D376" i="5"/>
  <c r="E376" i="5"/>
  <c r="A377" i="5"/>
  <c r="B377" i="5"/>
  <c r="C377" i="5"/>
  <c r="D377" i="5"/>
  <c r="E377" i="5"/>
  <c r="A378" i="5"/>
  <c r="B378" i="5"/>
  <c r="C378" i="5"/>
  <c r="D378" i="5"/>
  <c r="E378" i="5"/>
  <c r="A379" i="5"/>
  <c r="B379" i="5"/>
  <c r="C379" i="5"/>
  <c r="D379" i="5"/>
  <c r="E379" i="5"/>
  <c r="A380" i="5"/>
  <c r="B380" i="5"/>
  <c r="C380" i="5"/>
  <c r="D380" i="5"/>
  <c r="E380" i="5"/>
  <c r="A381" i="5"/>
  <c r="B381" i="5"/>
  <c r="C381" i="5"/>
  <c r="D381" i="5"/>
  <c r="E381" i="5"/>
  <c r="A382" i="5"/>
  <c r="B382" i="5"/>
  <c r="C382" i="5"/>
  <c r="D382" i="5"/>
  <c r="E382" i="5"/>
  <c r="A383" i="5"/>
  <c r="B383" i="5"/>
  <c r="C383" i="5"/>
  <c r="D383" i="5"/>
  <c r="E383" i="5"/>
  <c r="A384" i="5"/>
  <c r="B384" i="5"/>
  <c r="C384" i="5"/>
  <c r="D384" i="5"/>
  <c r="E384" i="5"/>
  <c r="A385" i="5"/>
  <c r="B385" i="5"/>
  <c r="C385" i="5"/>
  <c r="D385" i="5"/>
  <c r="E385" i="5"/>
  <c r="A386" i="5"/>
  <c r="B386" i="5"/>
  <c r="C386" i="5"/>
  <c r="D386" i="5"/>
  <c r="E386" i="5"/>
  <c r="A387" i="5"/>
  <c r="B387" i="5"/>
  <c r="C387" i="5"/>
  <c r="D387" i="5"/>
  <c r="E387" i="5"/>
  <c r="A388" i="5"/>
  <c r="B388" i="5"/>
  <c r="C388" i="5"/>
  <c r="D388" i="5"/>
  <c r="E388" i="5"/>
  <c r="A389" i="5"/>
  <c r="B389" i="5"/>
  <c r="C389" i="5"/>
  <c r="D389" i="5"/>
  <c r="E389" i="5"/>
  <c r="A390" i="5"/>
  <c r="B390" i="5"/>
  <c r="C390" i="5"/>
  <c r="D390" i="5"/>
  <c r="E390" i="5"/>
  <c r="A391" i="5"/>
  <c r="B391" i="5"/>
  <c r="C391" i="5"/>
  <c r="D391" i="5"/>
  <c r="E391" i="5"/>
  <c r="A392" i="5"/>
  <c r="B392" i="5"/>
  <c r="C392" i="5"/>
  <c r="D392" i="5"/>
  <c r="E392" i="5"/>
  <c r="A393" i="5"/>
  <c r="B393" i="5"/>
  <c r="C393" i="5"/>
  <c r="D393" i="5"/>
  <c r="E393" i="5"/>
  <c r="A394" i="5"/>
  <c r="B394" i="5"/>
  <c r="C394" i="5"/>
  <c r="D394" i="5"/>
  <c r="E394" i="5"/>
  <c r="A395" i="5"/>
  <c r="B395" i="5"/>
  <c r="C395" i="5"/>
  <c r="D395" i="5"/>
  <c r="E395" i="5"/>
  <c r="A396" i="5"/>
  <c r="B396" i="5"/>
  <c r="C396" i="5"/>
  <c r="D396" i="5"/>
  <c r="E396" i="5"/>
  <c r="A397" i="5"/>
  <c r="B397" i="5"/>
  <c r="C397" i="5"/>
  <c r="D397" i="5"/>
  <c r="E397" i="5"/>
  <c r="A398" i="5"/>
  <c r="B398" i="5"/>
  <c r="C398" i="5"/>
  <c r="D398" i="5"/>
  <c r="E398" i="5"/>
  <c r="A399" i="5"/>
  <c r="B399" i="5"/>
  <c r="C399" i="5"/>
  <c r="D399" i="5"/>
  <c r="E399" i="5"/>
  <c r="A400" i="5"/>
  <c r="B400" i="5"/>
  <c r="C400" i="5"/>
  <c r="D400" i="5"/>
  <c r="E400" i="5"/>
  <c r="A401" i="5"/>
  <c r="B401" i="5"/>
  <c r="C401" i="5"/>
  <c r="D401" i="5"/>
  <c r="E401" i="5"/>
  <c r="A402" i="5"/>
  <c r="B402" i="5"/>
  <c r="C402" i="5"/>
  <c r="D402" i="5"/>
  <c r="E402" i="5"/>
  <c r="A403" i="5"/>
  <c r="B403" i="5"/>
  <c r="C403" i="5"/>
  <c r="D403" i="5"/>
  <c r="E403" i="5"/>
  <c r="A404" i="5"/>
  <c r="B404" i="5"/>
  <c r="C404" i="5"/>
  <c r="D404" i="5"/>
  <c r="E404" i="5"/>
  <c r="A405" i="5"/>
  <c r="B405" i="5"/>
  <c r="C405" i="5"/>
  <c r="D405" i="5"/>
  <c r="E405" i="5"/>
  <c r="A406" i="5"/>
  <c r="B406" i="5"/>
  <c r="C406" i="5"/>
  <c r="D406" i="5"/>
  <c r="E406" i="5"/>
  <c r="A407" i="5"/>
  <c r="B407" i="5"/>
  <c r="C407" i="5"/>
  <c r="D407" i="5"/>
  <c r="E407" i="5"/>
  <c r="A408" i="5"/>
  <c r="B408" i="5"/>
  <c r="C408" i="5"/>
  <c r="D408" i="5"/>
  <c r="E408" i="5"/>
  <c r="A409" i="5"/>
  <c r="B409" i="5"/>
  <c r="C409" i="5"/>
  <c r="D409" i="5"/>
  <c r="E409" i="5"/>
  <c r="A410" i="5"/>
  <c r="B410" i="5"/>
  <c r="C410" i="5"/>
  <c r="D410" i="5"/>
  <c r="E410" i="5"/>
  <c r="A411" i="5"/>
  <c r="B411" i="5"/>
  <c r="C411" i="5"/>
  <c r="D411" i="5"/>
  <c r="E411" i="5"/>
  <c r="A412" i="5"/>
  <c r="B412" i="5"/>
  <c r="C412" i="5"/>
  <c r="D412" i="5"/>
  <c r="E412" i="5"/>
  <c r="A413" i="5"/>
  <c r="B413" i="5"/>
  <c r="C413" i="5"/>
  <c r="D413" i="5"/>
  <c r="E413" i="5"/>
  <c r="A414" i="5"/>
  <c r="B414" i="5"/>
  <c r="C414" i="5"/>
  <c r="D414" i="5"/>
  <c r="E414" i="5"/>
  <c r="A415" i="5"/>
  <c r="B415" i="5"/>
  <c r="C415" i="5"/>
  <c r="D415" i="5"/>
  <c r="E415" i="5"/>
  <c r="A416" i="5"/>
  <c r="B416" i="5"/>
  <c r="C416" i="5"/>
  <c r="D416" i="5"/>
  <c r="E416" i="5"/>
  <c r="A417" i="5"/>
  <c r="B417" i="5"/>
  <c r="C417" i="5"/>
  <c r="D417" i="5"/>
  <c r="E417" i="5"/>
  <c r="A418" i="5"/>
  <c r="B418" i="5"/>
  <c r="C418" i="5"/>
  <c r="D418" i="5"/>
  <c r="E418" i="5"/>
  <c r="A419" i="5"/>
  <c r="B419" i="5"/>
  <c r="C419" i="5"/>
  <c r="D419" i="5"/>
  <c r="E419" i="5"/>
  <c r="A420" i="5"/>
  <c r="B420" i="5"/>
  <c r="C420" i="5"/>
  <c r="D420" i="5"/>
  <c r="E420" i="5"/>
  <c r="A421" i="5"/>
  <c r="B421" i="5"/>
  <c r="C421" i="5"/>
  <c r="D421" i="5"/>
  <c r="E421" i="5"/>
  <c r="A422" i="5"/>
  <c r="B422" i="5"/>
  <c r="C422" i="5"/>
  <c r="D422" i="5"/>
  <c r="E422" i="5"/>
  <c r="A423" i="5"/>
  <c r="B423" i="5"/>
  <c r="C423" i="5"/>
  <c r="D423" i="5"/>
  <c r="E423" i="5"/>
  <c r="A424" i="5"/>
  <c r="B424" i="5"/>
  <c r="C424" i="5"/>
  <c r="D424" i="5"/>
  <c r="E424" i="5"/>
  <c r="A425" i="5"/>
  <c r="B425" i="5"/>
  <c r="C425" i="5"/>
  <c r="D425" i="5"/>
  <c r="E425" i="5"/>
  <c r="A426" i="5"/>
  <c r="B426" i="5"/>
  <c r="C426" i="5"/>
  <c r="D426" i="5"/>
  <c r="E426" i="5"/>
  <c r="A427" i="5"/>
  <c r="B427" i="5"/>
  <c r="C427" i="5"/>
  <c r="D427" i="5"/>
  <c r="E427" i="5"/>
  <c r="A428" i="5"/>
  <c r="B428" i="5"/>
  <c r="C428" i="5"/>
  <c r="D428" i="5"/>
  <c r="E428" i="5"/>
  <c r="A429" i="5"/>
  <c r="B429" i="5"/>
  <c r="C429" i="5"/>
  <c r="D429" i="5"/>
  <c r="E429" i="5"/>
  <c r="A430" i="5"/>
  <c r="B430" i="5"/>
  <c r="C430" i="5"/>
  <c r="D430" i="5"/>
  <c r="E430" i="5"/>
  <c r="A431" i="5"/>
  <c r="B431" i="5"/>
  <c r="C431" i="5"/>
  <c r="D431" i="5"/>
  <c r="E431" i="5"/>
  <c r="A432" i="5"/>
  <c r="B432" i="5"/>
  <c r="C432" i="5"/>
  <c r="D432" i="5"/>
  <c r="E432" i="5"/>
  <c r="A433" i="5"/>
  <c r="B433" i="5"/>
  <c r="C433" i="5"/>
  <c r="D433" i="5"/>
  <c r="E433" i="5"/>
  <c r="A434" i="5"/>
  <c r="B434" i="5"/>
  <c r="C434" i="5"/>
  <c r="D434" i="5"/>
  <c r="E434" i="5"/>
  <c r="A435" i="5"/>
  <c r="B435" i="5"/>
  <c r="C435" i="5"/>
  <c r="D435" i="5"/>
  <c r="E435" i="5"/>
  <c r="A436" i="5"/>
  <c r="B436" i="5"/>
  <c r="C436" i="5"/>
  <c r="D436" i="5"/>
  <c r="E436" i="5"/>
  <c r="A437" i="5"/>
  <c r="B437" i="5"/>
  <c r="C437" i="5"/>
  <c r="D437" i="5"/>
  <c r="E437" i="5"/>
  <c r="A438" i="5"/>
  <c r="B438" i="5"/>
  <c r="C438" i="5"/>
  <c r="D438" i="5"/>
  <c r="E438" i="5"/>
  <c r="A439" i="5"/>
  <c r="B439" i="5"/>
  <c r="C439" i="5"/>
  <c r="D439" i="5"/>
  <c r="E439" i="5"/>
  <c r="A440" i="5"/>
  <c r="B440" i="5"/>
  <c r="C440" i="5"/>
  <c r="D440" i="5"/>
  <c r="E440" i="5"/>
  <c r="A441" i="5"/>
  <c r="B441" i="5"/>
  <c r="C441" i="5"/>
  <c r="D441" i="5"/>
  <c r="E441" i="5"/>
  <c r="A442" i="5"/>
  <c r="B442" i="5"/>
  <c r="C442" i="5"/>
  <c r="D442" i="5"/>
  <c r="E442" i="5"/>
  <c r="A443" i="5"/>
  <c r="B443" i="5"/>
  <c r="C443" i="5"/>
  <c r="D443" i="5"/>
  <c r="E443" i="5"/>
  <c r="A444" i="5"/>
  <c r="B444" i="5"/>
  <c r="C444" i="5"/>
  <c r="D444" i="5"/>
  <c r="E444" i="5"/>
  <c r="A445" i="5"/>
  <c r="B445" i="5"/>
  <c r="C445" i="5"/>
  <c r="D445" i="5"/>
  <c r="E445" i="5"/>
  <c r="A446" i="5"/>
  <c r="B446" i="5"/>
  <c r="C446" i="5"/>
  <c r="D446" i="5"/>
  <c r="E446" i="5"/>
  <c r="A447" i="5"/>
  <c r="B447" i="5"/>
  <c r="C447" i="5"/>
  <c r="D447" i="5"/>
  <c r="E447" i="5"/>
  <c r="A448" i="5"/>
  <c r="B448" i="5"/>
  <c r="C448" i="5"/>
  <c r="D448" i="5"/>
  <c r="E448" i="5"/>
  <c r="A449" i="5"/>
  <c r="B449" i="5"/>
  <c r="C449" i="5"/>
  <c r="D449" i="5"/>
  <c r="E449" i="5"/>
  <c r="A450" i="5"/>
  <c r="B450" i="5"/>
  <c r="C450" i="5"/>
  <c r="D450" i="5"/>
  <c r="E450" i="5"/>
  <c r="A451" i="5"/>
  <c r="B451" i="5"/>
  <c r="C451" i="5"/>
  <c r="D451" i="5"/>
  <c r="E451" i="5"/>
  <c r="A452" i="5"/>
  <c r="B452" i="5"/>
  <c r="C452" i="5"/>
  <c r="D452" i="5"/>
  <c r="E452" i="5"/>
  <c r="A453" i="5"/>
  <c r="B453" i="5"/>
  <c r="C453" i="5"/>
  <c r="D453" i="5"/>
  <c r="E453" i="5"/>
  <c r="A454" i="5"/>
  <c r="B454" i="5"/>
  <c r="C454" i="5"/>
  <c r="D454" i="5"/>
  <c r="E454" i="5"/>
  <c r="A455" i="5"/>
  <c r="B455" i="5"/>
  <c r="C455" i="5"/>
  <c r="D455" i="5"/>
  <c r="E455" i="5"/>
  <c r="A456" i="5"/>
  <c r="B456" i="5"/>
  <c r="C456" i="5"/>
  <c r="D456" i="5"/>
  <c r="E456" i="5"/>
  <c r="A457" i="5"/>
  <c r="B457" i="5"/>
  <c r="C457" i="5"/>
  <c r="D457" i="5"/>
  <c r="E457" i="5"/>
  <c r="A458" i="5"/>
  <c r="B458" i="5"/>
  <c r="C458" i="5"/>
  <c r="D458" i="5"/>
  <c r="E458" i="5"/>
  <c r="A459" i="5"/>
  <c r="B459" i="5"/>
  <c r="C459" i="5"/>
  <c r="D459" i="5"/>
  <c r="E459" i="5"/>
  <c r="A460" i="5"/>
  <c r="B460" i="5"/>
  <c r="C460" i="5"/>
  <c r="D460" i="5"/>
  <c r="E460" i="5"/>
  <c r="A461" i="5"/>
  <c r="B461" i="5"/>
  <c r="C461" i="5"/>
  <c r="D461" i="5"/>
  <c r="E461" i="5"/>
  <c r="A462" i="5"/>
  <c r="B462" i="5"/>
  <c r="C462" i="5"/>
  <c r="D462" i="5"/>
  <c r="E462" i="5"/>
  <c r="A463" i="5"/>
  <c r="B463" i="5"/>
  <c r="C463" i="5"/>
  <c r="D463" i="5"/>
  <c r="E463" i="5"/>
  <c r="A464" i="5"/>
  <c r="B464" i="5"/>
  <c r="C464" i="5"/>
  <c r="D464" i="5"/>
  <c r="E464" i="5"/>
  <c r="A465" i="5"/>
  <c r="B465" i="5"/>
  <c r="C465" i="5"/>
  <c r="D465" i="5"/>
  <c r="E465" i="5"/>
  <c r="A466" i="5"/>
  <c r="B466" i="5"/>
  <c r="C466" i="5"/>
  <c r="D466" i="5"/>
  <c r="E466" i="5"/>
  <c r="A467" i="5"/>
  <c r="B467" i="5"/>
  <c r="C467" i="5"/>
  <c r="D467" i="5"/>
  <c r="E467" i="5"/>
  <c r="A468" i="5"/>
  <c r="B468" i="5"/>
  <c r="C468" i="5"/>
  <c r="D468" i="5"/>
  <c r="E468" i="5"/>
  <c r="A469" i="5"/>
  <c r="B469" i="5"/>
  <c r="C469" i="5"/>
  <c r="D469" i="5"/>
  <c r="E469" i="5"/>
  <c r="A470" i="5"/>
  <c r="B470" i="5"/>
  <c r="C470" i="5"/>
  <c r="D470" i="5"/>
  <c r="E470" i="5"/>
  <c r="A471" i="5"/>
  <c r="B471" i="5"/>
  <c r="C471" i="5"/>
  <c r="D471" i="5"/>
  <c r="E471" i="5"/>
  <c r="A472" i="5"/>
  <c r="B472" i="5"/>
  <c r="C472" i="5"/>
  <c r="D472" i="5"/>
  <c r="E472" i="5"/>
  <c r="A473" i="5"/>
  <c r="B473" i="5"/>
  <c r="C473" i="5"/>
  <c r="D473" i="5"/>
  <c r="E473" i="5"/>
  <c r="A474" i="5"/>
  <c r="B474" i="5"/>
  <c r="C474" i="5"/>
  <c r="D474" i="5"/>
  <c r="E474" i="5"/>
  <c r="A475" i="5"/>
  <c r="B475" i="5"/>
  <c r="C475" i="5"/>
  <c r="D475" i="5"/>
  <c r="E475" i="5"/>
  <c r="A476" i="5"/>
  <c r="B476" i="5"/>
  <c r="C476" i="5"/>
  <c r="D476" i="5"/>
  <c r="E476" i="5"/>
  <c r="A477" i="5"/>
  <c r="B477" i="5"/>
  <c r="C477" i="5"/>
  <c r="D477" i="5"/>
  <c r="E477" i="5"/>
  <c r="A478" i="5"/>
  <c r="B478" i="5"/>
  <c r="C478" i="5"/>
  <c r="D478" i="5"/>
  <c r="E478" i="5"/>
  <c r="A479" i="5"/>
  <c r="B479" i="5"/>
  <c r="C479" i="5"/>
  <c r="D479" i="5"/>
  <c r="E479" i="5"/>
  <c r="A480" i="5"/>
  <c r="B480" i="5"/>
  <c r="C480" i="5"/>
  <c r="D480" i="5"/>
  <c r="E480" i="5"/>
  <c r="A481" i="5"/>
  <c r="B481" i="5"/>
  <c r="C481" i="5"/>
  <c r="D481" i="5"/>
  <c r="E481" i="5"/>
  <c r="A482" i="5"/>
  <c r="B482" i="5"/>
  <c r="C482" i="5"/>
  <c r="D482" i="5"/>
  <c r="E482" i="5"/>
  <c r="A483" i="5"/>
  <c r="B483" i="5"/>
  <c r="C483" i="5"/>
  <c r="D483" i="5"/>
  <c r="E483" i="5"/>
  <c r="A484" i="5"/>
  <c r="B484" i="5"/>
  <c r="C484" i="5"/>
  <c r="D484" i="5"/>
  <c r="E484" i="5"/>
  <c r="A485" i="5"/>
  <c r="B485" i="5"/>
  <c r="C485" i="5"/>
  <c r="D485" i="5"/>
  <c r="E485" i="5"/>
  <c r="A486" i="5"/>
  <c r="B486" i="5"/>
  <c r="C486" i="5"/>
  <c r="D486" i="5"/>
  <c r="E486" i="5"/>
  <c r="A487" i="5"/>
  <c r="B487" i="5"/>
  <c r="C487" i="5"/>
  <c r="D487" i="5"/>
  <c r="E487" i="5"/>
  <c r="A488" i="5"/>
  <c r="B488" i="5"/>
  <c r="C488" i="5"/>
  <c r="D488" i="5"/>
  <c r="E488" i="5"/>
  <c r="A489" i="5"/>
  <c r="B489" i="5"/>
  <c r="C489" i="5"/>
  <c r="D489" i="5"/>
  <c r="E489" i="5"/>
  <c r="A490" i="5"/>
  <c r="B490" i="5"/>
  <c r="C490" i="5"/>
  <c r="D490" i="5"/>
  <c r="E490" i="5"/>
  <c r="A491" i="5"/>
  <c r="B491" i="5"/>
  <c r="C491" i="5"/>
  <c r="D491" i="5"/>
  <c r="E491" i="5"/>
  <c r="A492" i="5"/>
  <c r="B492" i="5"/>
  <c r="C492" i="5"/>
  <c r="D492" i="5"/>
  <c r="E492" i="5"/>
  <c r="A493" i="5"/>
  <c r="B493" i="5"/>
  <c r="C493" i="5"/>
  <c r="D493" i="5"/>
  <c r="E493" i="5"/>
  <c r="A494" i="5"/>
  <c r="B494" i="5"/>
  <c r="C494" i="5"/>
  <c r="D494" i="5"/>
  <c r="E494" i="5"/>
  <c r="A495" i="5"/>
  <c r="B495" i="5"/>
  <c r="C495" i="5"/>
  <c r="D495" i="5"/>
  <c r="E495" i="5"/>
  <c r="A496" i="5"/>
  <c r="B496" i="5"/>
  <c r="C496" i="5"/>
  <c r="D496" i="5"/>
  <c r="E496" i="5"/>
  <c r="A497" i="5"/>
  <c r="B497" i="5"/>
  <c r="C497" i="5"/>
  <c r="D497" i="5"/>
  <c r="E497" i="5"/>
  <c r="A498" i="5"/>
  <c r="B498" i="5"/>
  <c r="C498" i="5"/>
  <c r="D498" i="5"/>
  <c r="E498" i="5"/>
  <c r="A499" i="5"/>
  <c r="B499" i="5"/>
  <c r="C499" i="5"/>
  <c r="D499" i="5"/>
  <c r="E499" i="5"/>
  <c r="A500" i="5"/>
  <c r="B500" i="5"/>
  <c r="C500" i="5"/>
  <c r="D500" i="5"/>
  <c r="E500" i="5"/>
  <c r="A501" i="5"/>
  <c r="B501" i="5"/>
  <c r="C501" i="5"/>
  <c r="D501" i="5"/>
  <c r="E501" i="5"/>
  <c r="A502" i="5"/>
  <c r="B502" i="5"/>
  <c r="C502" i="5"/>
  <c r="D502" i="5"/>
  <c r="E502" i="5"/>
  <c r="A503" i="5"/>
  <c r="B503" i="5"/>
  <c r="C503" i="5"/>
  <c r="D503" i="5"/>
  <c r="E503" i="5"/>
  <c r="A504" i="5"/>
  <c r="B504" i="5"/>
  <c r="C504" i="5"/>
  <c r="D504" i="5"/>
  <c r="E504" i="5"/>
  <c r="A505" i="5"/>
  <c r="B505" i="5"/>
  <c r="C505" i="5"/>
  <c r="D505" i="5"/>
  <c r="E505" i="5"/>
  <c r="A506" i="5"/>
  <c r="B506" i="5"/>
  <c r="C506" i="5"/>
  <c r="D506" i="5"/>
  <c r="E506" i="5"/>
  <c r="A507" i="5"/>
  <c r="B507" i="5"/>
  <c r="C507" i="5"/>
  <c r="D507" i="5"/>
  <c r="E507" i="5"/>
  <c r="A508" i="5"/>
  <c r="B508" i="5"/>
  <c r="C508" i="5"/>
  <c r="D508" i="5"/>
  <c r="E508" i="5"/>
  <c r="A509" i="5"/>
  <c r="B509" i="5"/>
  <c r="C509" i="5"/>
  <c r="D509" i="5"/>
  <c r="E509" i="5"/>
  <c r="A510" i="5"/>
  <c r="B510" i="5"/>
  <c r="C510" i="5"/>
  <c r="D510" i="5"/>
  <c r="E510" i="5"/>
  <c r="A511" i="5"/>
  <c r="B511" i="5"/>
  <c r="C511" i="5"/>
  <c r="D511" i="5"/>
  <c r="E511" i="5"/>
  <c r="A512" i="5"/>
  <c r="B512" i="5"/>
  <c r="C512" i="5"/>
  <c r="D512" i="5"/>
  <c r="E512" i="5"/>
  <c r="A513" i="5"/>
  <c r="B513" i="5"/>
  <c r="C513" i="5"/>
  <c r="D513" i="5"/>
  <c r="E513" i="5"/>
  <c r="A514" i="5"/>
  <c r="B514" i="5"/>
  <c r="C514" i="5"/>
  <c r="D514" i="5"/>
  <c r="E514" i="5"/>
  <c r="A515" i="5"/>
  <c r="B515" i="5"/>
  <c r="C515" i="5"/>
  <c r="D515" i="5"/>
  <c r="E515" i="5"/>
  <c r="A516" i="5"/>
  <c r="B516" i="5"/>
  <c r="C516" i="5"/>
  <c r="D516" i="5"/>
  <c r="E516" i="5"/>
  <c r="A517" i="5"/>
  <c r="B517" i="5"/>
  <c r="C517" i="5"/>
  <c r="D517" i="5"/>
  <c r="E517" i="5"/>
  <c r="A518" i="5"/>
  <c r="B518" i="5"/>
  <c r="C518" i="5"/>
  <c r="D518" i="5"/>
  <c r="E518" i="5"/>
  <c r="A519" i="5"/>
  <c r="B519" i="5"/>
  <c r="C519" i="5"/>
  <c r="D519" i="5"/>
  <c r="E519" i="5"/>
  <c r="A520" i="5"/>
  <c r="B520" i="5"/>
  <c r="C520" i="5"/>
  <c r="D520" i="5"/>
  <c r="E520" i="5"/>
  <c r="A521" i="5"/>
  <c r="B521" i="5"/>
  <c r="C521" i="5"/>
  <c r="D521" i="5"/>
  <c r="E521" i="5"/>
  <c r="A522" i="5"/>
  <c r="B522" i="5"/>
  <c r="C522" i="5"/>
  <c r="D522" i="5"/>
  <c r="E522" i="5"/>
  <c r="A523" i="5"/>
  <c r="B523" i="5"/>
  <c r="C523" i="5"/>
  <c r="D523" i="5"/>
  <c r="E523" i="5"/>
  <c r="A524" i="5"/>
  <c r="B524" i="5"/>
  <c r="C524" i="5"/>
  <c r="D524" i="5"/>
  <c r="E524" i="5"/>
  <c r="A525" i="5"/>
  <c r="B525" i="5"/>
  <c r="C525" i="5"/>
  <c r="D525" i="5"/>
  <c r="E525" i="5"/>
  <c r="A526" i="5"/>
  <c r="B526" i="5"/>
  <c r="C526" i="5"/>
  <c r="D526" i="5"/>
  <c r="E526" i="5"/>
  <c r="A527" i="5"/>
  <c r="B527" i="5"/>
  <c r="C527" i="5"/>
  <c r="D527" i="5"/>
  <c r="E527" i="5"/>
  <c r="A528" i="5"/>
  <c r="B528" i="5"/>
  <c r="C528" i="5"/>
  <c r="D528" i="5"/>
  <c r="E528" i="5"/>
  <c r="A529" i="5"/>
  <c r="B529" i="5"/>
  <c r="C529" i="5"/>
  <c r="D529" i="5"/>
  <c r="E529" i="5"/>
  <c r="A530" i="5"/>
  <c r="B530" i="5"/>
  <c r="C530" i="5"/>
  <c r="D530" i="5"/>
  <c r="E530" i="5"/>
  <c r="A531" i="5"/>
  <c r="B531" i="5"/>
  <c r="C531" i="5"/>
  <c r="D531" i="5"/>
  <c r="E531" i="5"/>
  <c r="A532" i="5"/>
  <c r="B532" i="5"/>
  <c r="C532" i="5"/>
  <c r="D532" i="5"/>
  <c r="E532" i="5"/>
  <c r="A533" i="5"/>
  <c r="B533" i="5"/>
  <c r="C533" i="5"/>
  <c r="D533" i="5"/>
  <c r="E533" i="5"/>
  <c r="A534" i="5"/>
  <c r="B534" i="5"/>
  <c r="C534" i="5"/>
  <c r="D534" i="5"/>
  <c r="E534" i="5"/>
  <c r="A535" i="5"/>
  <c r="B535" i="5"/>
  <c r="C535" i="5"/>
  <c r="D535" i="5"/>
  <c r="E535" i="5"/>
  <c r="A536" i="5"/>
  <c r="B536" i="5"/>
  <c r="C536" i="5"/>
  <c r="D536" i="5"/>
  <c r="E536" i="5"/>
  <c r="A537" i="5"/>
  <c r="B537" i="5"/>
  <c r="C537" i="5"/>
  <c r="D537" i="5"/>
  <c r="E537" i="5"/>
  <c r="A538" i="5"/>
  <c r="B538" i="5"/>
  <c r="C538" i="5"/>
  <c r="D538" i="5"/>
  <c r="E538" i="5"/>
  <c r="A539" i="5"/>
  <c r="B539" i="5"/>
  <c r="C539" i="5"/>
  <c r="D539" i="5"/>
  <c r="E539" i="5"/>
  <c r="A540" i="5"/>
  <c r="B540" i="5"/>
  <c r="C540" i="5"/>
  <c r="D540" i="5"/>
  <c r="E540" i="5"/>
  <c r="A541" i="5"/>
  <c r="B541" i="5"/>
  <c r="C541" i="5"/>
  <c r="D541" i="5"/>
  <c r="E541" i="5"/>
  <c r="A542" i="5"/>
  <c r="B542" i="5"/>
  <c r="C542" i="5"/>
  <c r="D542" i="5"/>
  <c r="E542" i="5"/>
  <c r="A543" i="5"/>
  <c r="B543" i="5"/>
  <c r="C543" i="5"/>
  <c r="D543" i="5"/>
  <c r="E543" i="5"/>
  <c r="A544" i="5"/>
  <c r="B544" i="5"/>
  <c r="C544" i="5"/>
  <c r="D544" i="5"/>
  <c r="E544" i="5"/>
  <c r="A545" i="5"/>
  <c r="B545" i="5"/>
  <c r="C545" i="5"/>
  <c r="D545" i="5"/>
  <c r="E545" i="5"/>
  <c r="A546" i="5"/>
  <c r="B546" i="5"/>
  <c r="C546" i="5"/>
  <c r="D546" i="5"/>
  <c r="E546" i="5"/>
  <c r="A547" i="5"/>
  <c r="B547" i="5"/>
  <c r="C547" i="5"/>
  <c r="D547" i="5"/>
  <c r="E547" i="5"/>
  <c r="A548" i="5"/>
  <c r="B548" i="5"/>
  <c r="C548" i="5"/>
  <c r="D548" i="5"/>
  <c r="E548" i="5"/>
  <c r="A549" i="5"/>
  <c r="B549" i="5"/>
  <c r="C549" i="5"/>
  <c r="D549" i="5"/>
  <c r="E549" i="5"/>
  <c r="A550" i="5"/>
  <c r="B550" i="5"/>
  <c r="C550" i="5"/>
  <c r="D550" i="5"/>
  <c r="E550" i="5"/>
  <c r="A551" i="5"/>
  <c r="B551" i="5"/>
  <c r="C551" i="5"/>
  <c r="D551" i="5"/>
  <c r="E551" i="5"/>
  <c r="A552" i="5"/>
  <c r="B552" i="5"/>
  <c r="C552" i="5"/>
  <c r="D552" i="5"/>
  <c r="E552" i="5"/>
  <c r="A553" i="5"/>
  <c r="B553" i="5"/>
  <c r="C553" i="5"/>
  <c r="D553" i="5"/>
  <c r="E553" i="5"/>
  <c r="A554" i="5"/>
  <c r="B554" i="5"/>
  <c r="C554" i="5"/>
  <c r="D554" i="5"/>
  <c r="E554" i="5"/>
  <c r="A555" i="5"/>
  <c r="B555" i="5"/>
  <c r="C555" i="5"/>
  <c r="D555" i="5"/>
  <c r="E555" i="5"/>
  <c r="A556" i="5"/>
  <c r="B556" i="5"/>
  <c r="C556" i="5"/>
  <c r="D556" i="5"/>
  <c r="E556" i="5"/>
  <c r="A557" i="5"/>
  <c r="B557" i="5"/>
  <c r="C557" i="5"/>
  <c r="D557" i="5"/>
  <c r="E557" i="5"/>
  <c r="A558" i="5"/>
  <c r="B558" i="5"/>
  <c r="C558" i="5"/>
  <c r="D558" i="5"/>
  <c r="E558" i="5"/>
  <c r="A559" i="5"/>
  <c r="B559" i="5"/>
  <c r="C559" i="5"/>
  <c r="D559" i="5"/>
  <c r="E559" i="5"/>
  <c r="A560" i="5"/>
  <c r="B560" i="5"/>
  <c r="C560" i="5"/>
  <c r="D560" i="5"/>
  <c r="E560" i="5"/>
  <c r="A561" i="5"/>
  <c r="B561" i="5"/>
  <c r="C561" i="5"/>
  <c r="D561" i="5"/>
  <c r="E561" i="5"/>
  <c r="A562" i="5"/>
  <c r="B562" i="5"/>
  <c r="C562" i="5"/>
  <c r="D562" i="5"/>
  <c r="E562" i="5"/>
  <c r="A563" i="5"/>
  <c r="B563" i="5"/>
  <c r="C563" i="5"/>
  <c r="D563" i="5"/>
  <c r="E563" i="5"/>
  <c r="A564" i="5"/>
  <c r="B564" i="5"/>
  <c r="C564" i="5"/>
  <c r="D564" i="5"/>
  <c r="E564" i="5"/>
  <c r="A565" i="5"/>
  <c r="B565" i="5"/>
  <c r="C565" i="5"/>
  <c r="D565" i="5"/>
  <c r="E565" i="5"/>
  <c r="A566" i="5"/>
  <c r="B566" i="5"/>
  <c r="C566" i="5"/>
  <c r="D566" i="5"/>
  <c r="E566" i="5"/>
  <c r="A567" i="5"/>
  <c r="B567" i="5"/>
  <c r="C567" i="5"/>
  <c r="D567" i="5"/>
  <c r="E567" i="5"/>
  <c r="A568" i="5"/>
  <c r="B568" i="5"/>
  <c r="C568" i="5"/>
  <c r="D568" i="5"/>
  <c r="E568" i="5"/>
  <c r="A569" i="5"/>
  <c r="B569" i="5"/>
  <c r="C569" i="5"/>
  <c r="D569" i="5"/>
  <c r="E569" i="5"/>
  <c r="A570" i="5"/>
  <c r="B570" i="5"/>
  <c r="C570" i="5"/>
  <c r="D570" i="5"/>
  <c r="E570" i="5"/>
  <c r="A571" i="5"/>
  <c r="B571" i="5"/>
  <c r="C571" i="5"/>
  <c r="D571" i="5"/>
  <c r="E571" i="5"/>
  <c r="A572" i="5"/>
  <c r="B572" i="5"/>
  <c r="C572" i="5"/>
  <c r="D572" i="5"/>
  <c r="E572" i="5"/>
  <c r="A573" i="5"/>
  <c r="B573" i="5"/>
  <c r="C573" i="5"/>
  <c r="D573" i="5"/>
  <c r="E573" i="5"/>
  <c r="A574" i="5"/>
  <c r="B574" i="5"/>
  <c r="C574" i="5"/>
  <c r="D574" i="5"/>
  <c r="E574" i="5"/>
  <c r="A575" i="5"/>
  <c r="B575" i="5"/>
  <c r="C575" i="5"/>
  <c r="D575" i="5"/>
  <c r="E575" i="5"/>
  <c r="A576" i="5"/>
  <c r="B576" i="5"/>
  <c r="C576" i="5"/>
  <c r="D576" i="5"/>
  <c r="E576" i="5"/>
  <c r="A577" i="5"/>
  <c r="B577" i="5"/>
  <c r="C577" i="5"/>
  <c r="D577" i="5"/>
  <c r="E577" i="5"/>
  <c r="A578" i="5"/>
  <c r="B578" i="5"/>
  <c r="C578" i="5"/>
  <c r="D578" i="5"/>
  <c r="E578" i="5"/>
  <c r="A579" i="5"/>
  <c r="B579" i="5"/>
  <c r="C579" i="5"/>
  <c r="D579" i="5"/>
  <c r="E579" i="5"/>
  <c r="A580" i="5"/>
  <c r="B580" i="5"/>
  <c r="C580" i="5"/>
  <c r="D580" i="5"/>
  <c r="E580" i="5"/>
  <c r="A581" i="5"/>
  <c r="B581" i="5"/>
  <c r="C581" i="5"/>
  <c r="D581" i="5"/>
  <c r="E581" i="5"/>
  <c r="A582" i="5"/>
  <c r="B582" i="5"/>
  <c r="C582" i="5"/>
  <c r="D582" i="5"/>
  <c r="E582" i="5"/>
  <c r="A583" i="5"/>
  <c r="B583" i="5"/>
  <c r="C583" i="5"/>
  <c r="D583" i="5"/>
  <c r="E583" i="5"/>
  <c r="A584" i="5"/>
  <c r="B584" i="5"/>
  <c r="C584" i="5"/>
  <c r="D584" i="5"/>
  <c r="E584" i="5"/>
  <c r="A585" i="5"/>
  <c r="B585" i="5"/>
  <c r="C585" i="5"/>
  <c r="D585" i="5"/>
  <c r="E585" i="5"/>
  <c r="A586" i="5"/>
  <c r="B586" i="5"/>
  <c r="C586" i="5"/>
  <c r="D586" i="5"/>
  <c r="E586" i="5"/>
  <c r="A587" i="5"/>
  <c r="B587" i="5"/>
  <c r="C587" i="5"/>
  <c r="D587" i="5"/>
  <c r="E587" i="5"/>
  <c r="A588" i="5"/>
  <c r="B588" i="5"/>
  <c r="C588" i="5"/>
  <c r="D588" i="5"/>
  <c r="E588" i="5"/>
  <c r="A589" i="5"/>
  <c r="B589" i="5"/>
  <c r="C589" i="5"/>
  <c r="D589" i="5"/>
  <c r="E589" i="5"/>
  <c r="A590" i="5"/>
  <c r="B590" i="5"/>
  <c r="C590" i="5"/>
  <c r="D590" i="5"/>
  <c r="E590" i="5"/>
  <c r="A591" i="5"/>
  <c r="B591" i="5"/>
  <c r="C591" i="5"/>
  <c r="D591" i="5"/>
  <c r="E591" i="5"/>
  <c r="A592" i="5"/>
  <c r="B592" i="5"/>
  <c r="C592" i="5"/>
  <c r="D592" i="5"/>
  <c r="E592" i="5"/>
  <c r="A593" i="5"/>
  <c r="B593" i="5"/>
  <c r="C593" i="5"/>
  <c r="D593" i="5"/>
  <c r="E593" i="5"/>
  <c r="A594" i="5"/>
  <c r="B594" i="5"/>
  <c r="C594" i="5"/>
  <c r="D594" i="5"/>
  <c r="E594" i="5"/>
  <c r="A595" i="5"/>
  <c r="B595" i="5"/>
  <c r="C595" i="5"/>
  <c r="D595" i="5"/>
  <c r="E595" i="5"/>
  <c r="A596" i="5"/>
  <c r="B596" i="5"/>
  <c r="C596" i="5"/>
  <c r="D596" i="5"/>
  <c r="E596" i="5"/>
  <c r="A597" i="5"/>
  <c r="B597" i="5"/>
  <c r="C597" i="5"/>
  <c r="D597" i="5"/>
  <c r="E597" i="5"/>
  <c r="A598" i="5"/>
  <c r="B598" i="5"/>
  <c r="C598" i="5"/>
  <c r="D598" i="5"/>
  <c r="E598" i="5"/>
  <c r="A599" i="5"/>
  <c r="B599" i="5"/>
  <c r="C599" i="5"/>
  <c r="D599" i="5"/>
  <c r="E599" i="5"/>
  <c r="A600" i="5"/>
  <c r="B600" i="5"/>
  <c r="C600" i="5"/>
  <c r="D600" i="5"/>
  <c r="E600" i="5"/>
  <c r="A601" i="5"/>
  <c r="B601" i="5"/>
  <c r="C601" i="5"/>
  <c r="D601" i="5"/>
  <c r="E601" i="5"/>
  <c r="A602" i="5"/>
  <c r="B602" i="5"/>
  <c r="C602" i="5"/>
  <c r="D602" i="5"/>
  <c r="E602" i="5"/>
  <c r="A603" i="5"/>
  <c r="B603" i="5"/>
  <c r="C603" i="5"/>
  <c r="D603" i="5"/>
  <c r="E603" i="5"/>
  <c r="A604" i="5"/>
  <c r="B604" i="5"/>
  <c r="C604" i="5"/>
  <c r="D604" i="5"/>
  <c r="E604" i="5"/>
  <c r="A605" i="5"/>
  <c r="B605" i="5"/>
  <c r="C605" i="5"/>
  <c r="D605" i="5"/>
  <c r="E605" i="5"/>
  <c r="A606" i="5"/>
  <c r="B606" i="5"/>
  <c r="C606" i="5"/>
  <c r="D606" i="5"/>
  <c r="E606" i="5"/>
  <c r="A607" i="5"/>
  <c r="B607" i="5"/>
  <c r="C607" i="5"/>
  <c r="D607" i="5"/>
  <c r="E607" i="5"/>
  <c r="A608" i="5"/>
  <c r="B608" i="5"/>
  <c r="C608" i="5"/>
  <c r="D608" i="5"/>
  <c r="E608" i="5"/>
  <c r="A609" i="5"/>
  <c r="B609" i="5"/>
  <c r="C609" i="5"/>
  <c r="D609" i="5"/>
  <c r="E609" i="5"/>
  <c r="A610" i="5"/>
  <c r="B610" i="5"/>
  <c r="C610" i="5"/>
  <c r="D610" i="5"/>
  <c r="E610" i="5"/>
  <c r="A611" i="5"/>
  <c r="B611" i="5"/>
  <c r="C611" i="5"/>
  <c r="D611" i="5"/>
  <c r="E611" i="5"/>
  <c r="A612" i="5"/>
  <c r="B612" i="5"/>
  <c r="C612" i="5"/>
  <c r="D612" i="5"/>
  <c r="E612" i="5"/>
  <c r="A613" i="5"/>
  <c r="B613" i="5"/>
  <c r="C613" i="5"/>
  <c r="D613" i="5"/>
  <c r="E613" i="5"/>
  <c r="A614" i="5"/>
  <c r="B614" i="5"/>
  <c r="C614" i="5"/>
  <c r="D614" i="5"/>
  <c r="E614" i="5"/>
  <c r="A615" i="5"/>
  <c r="B615" i="5"/>
  <c r="C615" i="5"/>
  <c r="D615" i="5"/>
  <c r="E615" i="5"/>
  <c r="A616" i="5"/>
  <c r="B616" i="5"/>
  <c r="C616" i="5"/>
  <c r="D616" i="5"/>
  <c r="E616" i="5"/>
  <c r="A617" i="5"/>
  <c r="B617" i="5"/>
  <c r="C617" i="5"/>
  <c r="D617" i="5"/>
  <c r="E617" i="5"/>
  <c r="A618" i="5"/>
  <c r="B618" i="5"/>
  <c r="C618" i="5"/>
  <c r="D618" i="5"/>
  <c r="E618" i="5"/>
  <c r="A619" i="5"/>
  <c r="B619" i="5"/>
  <c r="C619" i="5"/>
  <c r="D619" i="5"/>
  <c r="E619" i="5"/>
  <c r="A620" i="5"/>
  <c r="B620" i="5"/>
  <c r="C620" i="5"/>
  <c r="D620" i="5"/>
  <c r="E620" i="5"/>
  <c r="A621" i="5"/>
  <c r="B621" i="5"/>
  <c r="C621" i="5"/>
  <c r="D621" i="5"/>
  <c r="E621" i="5"/>
  <c r="A622" i="5"/>
  <c r="B622" i="5"/>
  <c r="C622" i="5"/>
  <c r="D622" i="5"/>
  <c r="E622" i="5"/>
  <c r="A623" i="5"/>
  <c r="B623" i="5"/>
  <c r="C623" i="5"/>
  <c r="D623" i="5"/>
  <c r="E623" i="5"/>
  <c r="A624" i="5"/>
  <c r="B624" i="5"/>
  <c r="C624" i="5"/>
  <c r="D624" i="5"/>
  <c r="E624" i="5"/>
  <c r="A625" i="5"/>
  <c r="B625" i="5"/>
  <c r="C625" i="5"/>
  <c r="D625" i="5"/>
  <c r="E625" i="5"/>
  <c r="A626" i="5"/>
  <c r="B626" i="5"/>
  <c r="C626" i="5"/>
  <c r="D626" i="5"/>
  <c r="E626" i="5"/>
  <c r="A627" i="5"/>
  <c r="B627" i="5"/>
  <c r="C627" i="5"/>
  <c r="D627" i="5"/>
  <c r="E627" i="5"/>
  <c r="A628" i="5"/>
  <c r="B628" i="5"/>
  <c r="C628" i="5"/>
  <c r="D628" i="5"/>
  <c r="E628" i="5"/>
  <c r="A629" i="5"/>
  <c r="B629" i="5"/>
  <c r="C629" i="5"/>
  <c r="D629" i="5"/>
  <c r="E629" i="5"/>
  <c r="A630" i="5"/>
  <c r="B630" i="5"/>
  <c r="C630" i="5"/>
  <c r="D630" i="5"/>
  <c r="E630" i="5"/>
  <c r="A631" i="5"/>
  <c r="B631" i="5"/>
  <c r="C631" i="5"/>
  <c r="D631" i="5"/>
  <c r="E631" i="5"/>
  <c r="A632" i="5"/>
  <c r="B632" i="5"/>
  <c r="C632" i="5"/>
  <c r="D632" i="5"/>
  <c r="E632" i="5"/>
  <c r="A633" i="5"/>
  <c r="B633" i="5"/>
  <c r="C633" i="5"/>
  <c r="D633" i="5"/>
  <c r="E633" i="5"/>
  <c r="A634" i="5"/>
  <c r="B634" i="5"/>
  <c r="C634" i="5"/>
  <c r="D634" i="5"/>
  <c r="E634" i="5"/>
  <c r="A635" i="5"/>
  <c r="B635" i="5"/>
  <c r="C635" i="5"/>
  <c r="D635" i="5"/>
  <c r="E635" i="5"/>
  <c r="A636" i="5"/>
  <c r="B636" i="5"/>
  <c r="C636" i="5"/>
  <c r="D636" i="5"/>
  <c r="E636" i="5"/>
  <c r="A637" i="5"/>
  <c r="B637" i="5"/>
  <c r="C637" i="5"/>
  <c r="D637" i="5"/>
  <c r="E637" i="5"/>
  <c r="A638" i="5"/>
  <c r="B638" i="5"/>
  <c r="C638" i="5"/>
  <c r="D638" i="5"/>
  <c r="E638" i="5"/>
  <c r="A639" i="5"/>
  <c r="B639" i="5"/>
  <c r="C639" i="5"/>
  <c r="D639" i="5"/>
  <c r="E639" i="5"/>
  <c r="A640" i="5"/>
  <c r="B640" i="5"/>
  <c r="C640" i="5"/>
  <c r="D640" i="5"/>
  <c r="E640" i="5"/>
  <c r="A641" i="5"/>
  <c r="B641" i="5"/>
  <c r="C641" i="5"/>
  <c r="D641" i="5"/>
  <c r="E641" i="5"/>
  <c r="A642" i="5"/>
  <c r="B642" i="5"/>
  <c r="C642" i="5"/>
  <c r="D642" i="5"/>
  <c r="E642" i="5"/>
  <c r="A643" i="5"/>
  <c r="B643" i="5"/>
  <c r="C643" i="5"/>
  <c r="D643" i="5"/>
  <c r="E643" i="5"/>
  <c r="A644" i="5"/>
  <c r="B644" i="5"/>
  <c r="C644" i="5"/>
  <c r="D644" i="5"/>
  <c r="E644" i="5"/>
  <c r="A645" i="5"/>
  <c r="B645" i="5"/>
  <c r="C645" i="5"/>
  <c r="D645" i="5"/>
  <c r="E645" i="5"/>
  <c r="A646" i="5"/>
  <c r="B646" i="5"/>
  <c r="C646" i="5"/>
  <c r="D646" i="5"/>
  <c r="E646" i="5"/>
  <c r="A647" i="5"/>
  <c r="B647" i="5"/>
  <c r="C647" i="5"/>
  <c r="D647" i="5"/>
  <c r="E647" i="5"/>
  <c r="A648" i="5"/>
  <c r="B648" i="5"/>
  <c r="C648" i="5"/>
  <c r="D648" i="5"/>
  <c r="E648" i="5"/>
  <c r="A649" i="5"/>
  <c r="B649" i="5"/>
  <c r="C649" i="5"/>
  <c r="D649" i="5"/>
  <c r="E649" i="5"/>
  <c r="A650" i="5"/>
  <c r="B650" i="5"/>
  <c r="C650" i="5"/>
  <c r="D650" i="5"/>
  <c r="E650" i="5"/>
  <c r="A651" i="5"/>
  <c r="B651" i="5"/>
  <c r="C651" i="5"/>
  <c r="D651" i="5"/>
  <c r="E651" i="5"/>
  <c r="A652" i="5"/>
  <c r="B652" i="5"/>
  <c r="C652" i="5"/>
  <c r="D652" i="5"/>
  <c r="E652" i="5"/>
  <c r="A653" i="5"/>
  <c r="B653" i="5"/>
  <c r="C653" i="5"/>
  <c r="D653" i="5"/>
  <c r="E653" i="5"/>
  <c r="A654" i="5"/>
  <c r="B654" i="5"/>
  <c r="C654" i="5"/>
  <c r="D654" i="5"/>
  <c r="E654" i="5"/>
  <c r="A655" i="5"/>
  <c r="B655" i="5"/>
  <c r="C655" i="5"/>
  <c r="D655" i="5"/>
  <c r="E655" i="5"/>
  <c r="A656" i="5"/>
  <c r="B656" i="5"/>
  <c r="C656" i="5"/>
  <c r="D656" i="5"/>
  <c r="E656" i="5"/>
  <c r="A657" i="5"/>
  <c r="B657" i="5"/>
  <c r="C657" i="5"/>
  <c r="D657" i="5"/>
  <c r="E657" i="5"/>
  <c r="A658" i="5"/>
  <c r="B658" i="5"/>
  <c r="C658" i="5"/>
  <c r="D658" i="5"/>
  <c r="E658" i="5"/>
  <c r="A659" i="5"/>
  <c r="B659" i="5"/>
  <c r="C659" i="5"/>
  <c r="D659" i="5"/>
  <c r="E659" i="5"/>
  <c r="A660" i="5"/>
  <c r="B660" i="5"/>
  <c r="C660" i="5"/>
  <c r="D660" i="5"/>
  <c r="E660" i="5"/>
  <c r="A661" i="5"/>
  <c r="B661" i="5"/>
  <c r="C661" i="5"/>
  <c r="D661" i="5"/>
  <c r="E661" i="5"/>
  <c r="A662" i="5"/>
  <c r="B662" i="5"/>
  <c r="C662" i="5"/>
  <c r="D662" i="5"/>
  <c r="E662" i="5"/>
  <c r="A663" i="5"/>
  <c r="B663" i="5"/>
  <c r="C663" i="5"/>
  <c r="D663" i="5"/>
  <c r="E663" i="5"/>
  <c r="A664" i="5"/>
  <c r="B664" i="5"/>
  <c r="C664" i="5"/>
  <c r="D664" i="5"/>
  <c r="E664" i="5"/>
  <c r="A665" i="5"/>
  <c r="B665" i="5"/>
  <c r="C665" i="5"/>
  <c r="D665" i="5"/>
  <c r="E665" i="5"/>
  <c r="A666" i="5"/>
  <c r="B666" i="5"/>
  <c r="C666" i="5"/>
  <c r="D666" i="5"/>
  <c r="E666" i="5"/>
  <c r="A667" i="5"/>
  <c r="B667" i="5"/>
  <c r="C667" i="5"/>
  <c r="D667" i="5"/>
  <c r="E667" i="5"/>
  <c r="A668" i="5"/>
  <c r="B668" i="5"/>
  <c r="C668" i="5"/>
  <c r="D668" i="5"/>
  <c r="E668" i="5"/>
  <c r="A669" i="5"/>
  <c r="B669" i="5"/>
  <c r="C669" i="5"/>
  <c r="D669" i="5"/>
  <c r="E669" i="5"/>
  <c r="A670" i="5"/>
  <c r="B670" i="5"/>
  <c r="C670" i="5"/>
  <c r="D670" i="5"/>
  <c r="E670" i="5"/>
  <c r="A671" i="5"/>
  <c r="B671" i="5"/>
  <c r="C671" i="5"/>
  <c r="D671" i="5"/>
  <c r="E671" i="5"/>
  <c r="A672" i="5"/>
  <c r="B672" i="5"/>
  <c r="C672" i="5"/>
  <c r="D672" i="5"/>
  <c r="E672" i="5"/>
  <c r="A673" i="5"/>
  <c r="B673" i="5"/>
  <c r="C673" i="5"/>
  <c r="D673" i="5"/>
  <c r="E673" i="5"/>
  <c r="A674" i="5"/>
  <c r="B674" i="5"/>
  <c r="C674" i="5"/>
  <c r="D674" i="5"/>
  <c r="E674" i="5"/>
  <c r="A675" i="5"/>
  <c r="B675" i="5"/>
  <c r="C675" i="5"/>
  <c r="D675" i="5"/>
  <c r="E675" i="5"/>
  <c r="A676" i="5"/>
  <c r="B676" i="5"/>
  <c r="C676" i="5"/>
  <c r="D676" i="5"/>
  <c r="E676" i="5"/>
  <c r="A677" i="5"/>
  <c r="B677" i="5"/>
  <c r="C677" i="5"/>
  <c r="D677" i="5"/>
  <c r="E677" i="5"/>
  <c r="A678" i="5"/>
  <c r="B678" i="5"/>
  <c r="C678" i="5"/>
  <c r="D678" i="5"/>
  <c r="E678" i="5"/>
  <c r="A679" i="5"/>
  <c r="B679" i="5"/>
  <c r="C679" i="5"/>
  <c r="D679" i="5"/>
  <c r="E679" i="5"/>
  <c r="A680" i="5"/>
  <c r="B680" i="5"/>
  <c r="C680" i="5"/>
  <c r="D680" i="5"/>
  <c r="E680" i="5"/>
  <c r="A681" i="5"/>
  <c r="B681" i="5"/>
  <c r="C681" i="5"/>
  <c r="D681" i="5"/>
  <c r="E681" i="5"/>
  <c r="A682" i="5"/>
  <c r="B682" i="5"/>
  <c r="C682" i="5"/>
  <c r="D682" i="5"/>
  <c r="E682" i="5"/>
  <c r="A683" i="5"/>
  <c r="B683" i="5"/>
  <c r="C683" i="5"/>
  <c r="D683" i="5"/>
  <c r="E683" i="5"/>
  <c r="A684" i="5"/>
  <c r="B684" i="5"/>
  <c r="C684" i="5"/>
  <c r="D684" i="5"/>
  <c r="E684" i="5"/>
  <c r="A685" i="5"/>
  <c r="B685" i="5"/>
  <c r="C685" i="5"/>
  <c r="D685" i="5"/>
  <c r="E685" i="5"/>
  <c r="A686" i="5"/>
  <c r="B686" i="5"/>
  <c r="C686" i="5"/>
  <c r="D686" i="5"/>
  <c r="E686" i="5"/>
  <c r="A687" i="5"/>
  <c r="B687" i="5"/>
  <c r="C687" i="5"/>
  <c r="D687" i="5"/>
  <c r="E687" i="5"/>
  <c r="A688" i="5"/>
  <c r="B688" i="5"/>
  <c r="C688" i="5"/>
  <c r="D688" i="5"/>
  <c r="E688" i="5"/>
  <c r="A689" i="5"/>
  <c r="B689" i="5"/>
  <c r="C689" i="5"/>
  <c r="D689" i="5"/>
  <c r="E689" i="5"/>
  <c r="A690" i="5"/>
  <c r="B690" i="5"/>
  <c r="C690" i="5"/>
  <c r="D690" i="5"/>
  <c r="E690" i="5"/>
  <c r="A691" i="5"/>
  <c r="B691" i="5"/>
  <c r="C691" i="5"/>
  <c r="D691" i="5"/>
  <c r="E691" i="5"/>
  <c r="A692" i="5"/>
  <c r="B692" i="5"/>
  <c r="C692" i="5"/>
  <c r="D692" i="5"/>
  <c r="E692" i="5"/>
  <c r="A693" i="5"/>
  <c r="B693" i="5"/>
  <c r="C693" i="5"/>
  <c r="D693" i="5"/>
  <c r="E693" i="5"/>
  <c r="A694" i="5"/>
  <c r="B694" i="5"/>
  <c r="C694" i="5"/>
  <c r="D694" i="5"/>
  <c r="E694" i="5"/>
  <c r="A695" i="5"/>
  <c r="B695" i="5"/>
  <c r="C695" i="5"/>
  <c r="D695" i="5"/>
  <c r="E695" i="5"/>
  <c r="A696" i="5"/>
  <c r="B696" i="5"/>
  <c r="C696" i="5"/>
  <c r="D696" i="5"/>
  <c r="E696" i="5"/>
  <c r="A697" i="5"/>
  <c r="B697" i="5"/>
  <c r="C697" i="5"/>
  <c r="D697" i="5"/>
  <c r="E697" i="5"/>
  <c r="A698" i="5"/>
  <c r="B698" i="5"/>
  <c r="C698" i="5"/>
  <c r="D698" i="5"/>
  <c r="E698" i="5"/>
  <c r="A699" i="5"/>
  <c r="B699" i="5"/>
  <c r="C699" i="5"/>
  <c r="D699" i="5"/>
  <c r="E699" i="5"/>
  <c r="A700" i="5"/>
  <c r="B700" i="5"/>
  <c r="C700" i="5"/>
  <c r="D700" i="5"/>
  <c r="E700" i="5"/>
  <c r="A701" i="5"/>
  <c r="B701" i="5"/>
  <c r="C701" i="5"/>
  <c r="D701" i="5"/>
  <c r="E701" i="5"/>
  <c r="A702" i="5"/>
  <c r="B702" i="5"/>
  <c r="C702" i="5"/>
  <c r="D702" i="5"/>
  <c r="E702" i="5"/>
  <c r="A703" i="5"/>
  <c r="B703" i="5"/>
  <c r="C703" i="5"/>
  <c r="D703" i="5"/>
  <c r="E703" i="5"/>
  <c r="A704" i="5"/>
  <c r="B704" i="5"/>
  <c r="C704" i="5"/>
  <c r="D704" i="5"/>
  <c r="E704" i="5"/>
  <c r="A705" i="5"/>
  <c r="B705" i="5"/>
  <c r="C705" i="5"/>
  <c r="D705" i="5"/>
  <c r="E705" i="5"/>
  <c r="A706" i="5"/>
  <c r="B706" i="5"/>
  <c r="C706" i="5"/>
  <c r="D706" i="5"/>
  <c r="E706" i="5"/>
  <c r="A707" i="5"/>
  <c r="B707" i="5"/>
  <c r="C707" i="5"/>
  <c r="D707" i="5"/>
  <c r="E707" i="5"/>
  <c r="A708" i="5"/>
  <c r="B708" i="5"/>
  <c r="C708" i="5"/>
  <c r="D708" i="5"/>
  <c r="E708" i="5"/>
  <c r="A709" i="5"/>
  <c r="B709" i="5"/>
  <c r="C709" i="5"/>
  <c r="D709" i="5"/>
  <c r="E709" i="5"/>
  <c r="A710" i="5"/>
  <c r="B710" i="5"/>
  <c r="C710" i="5"/>
  <c r="D710" i="5"/>
  <c r="E710" i="5"/>
  <c r="A711" i="5"/>
  <c r="B711" i="5"/>
  <c r="C711" i="5"/>
  <c r="D711" i="5"/>
  <c r="E711" i="5"/>
  <c r="A712" i="5"/>
  <c r="B712" i="5"/>
  <c r="C712" i="5"/>
  <c r="D712" i="5"/>
  <c r="E712" i="5"/>
  <c r="A713" i="5"/>
  <c r="B713" i="5"/>
  <c r="C713" i="5"/>
  <c r="D713" i="5"/>
  <c r="E713" i="5"/>
  <c r="A714" i="5"/>
  <c r="B714" i="5"/>
  <c r="C714" i="5"/>
  <c r="D714" i="5"/>
  <c r="E714" i="5"/>
  <c r="A715" i="5"/>
  <c r="B715" i="5"/>
  <c r="C715" i="5"/>
  <c r="D715" i="5"/>
  <c r="E715" i="5"/>
  <c r="A716" i="5"/>
  <c r="B716" i="5"/>
  <c r="C716" i="5"/>
  <c r="D716" i="5"/>
  <c r="E716" i="5"/>
  <c r="A717" i="5"/>
  <c r="B717" i="5"/>
  <c r="C717" i="5"/>
  <c r="D717" i="5"/>
  <c r="E717" i="5"/>
  <c r="A718" i="5"/>
  <c r="B718" i="5"/>
  <c r="C718" i="5"/>
  <c r="D718" i="5"/>
  <c r="E718" i="5"/>
  <c r="A719" i="5"/>
  <c r="B719" i="5"/>
  <c r="C719" i="5"/>
  <c r="D719" i="5"/>
  <c r="E719" i="5"/>
  <c r="A720" i="5"/>
  <c r="B720" i="5"/>
  <c r="C720" i="5"/>
  <c r="D720" i="5"/>
  <c r="E720" i="5"/>
  <c r="A721" i="5"/>
  <c r="B721" i="5"/>
  <c r="C721" i="5"/>
  <c r="D721" i="5"/>
  <c r="E721" i="5"/>
  <c r="A722" i="5"/>
  <c r="B722" i="5"/>
  <c r="C722" i="5"/>
  <c r="D722" i="5"/>
  <c r="E722" i="5"/>
  <c r="A723" i="5"/>
  <c r="B723" i="5"/>
  <c r="C723" i="5"/>
  <c r="D723" i="5"/>
  <c r="E723" i="5"/>
  <c r="A724" i="5"/>
  <c r="B724" i="5"/>
  <c r="C724" i="5"/>
  <c r="D724" i="5"/>
  <c r="E724" i="5"/>
  <c r="A725" i="5"/>
  <c r="B725" i="5"/>
  <c r="C725" i="5"/>
  <c r="D725" i="5"/>
  <c r="E725" i="5"/>
  <c r="A726" i="5"/>
  <c r="B726" i="5"/>
  <c r="C726" i="5"/>
  <c r="D726" i="5"/>
  <c r="E726" i="5"/>
  <c r="A727" i="5"/>
  <c r="B727" i="5"/>
  <c r="C727" i="5"/>
  <c r="D727" i="5"/>
  <c r="E727" i="5"/>
  <c r="A728" i="5"/>
  <c r="B728" i="5"/>
  <c r="C728" i="5"/>
  <c r="D728" i="5"/>
  <c r="E728" i="5"/>
  <c r="A729" i="5"/>
  <c r="B729" i="5"/>
  <c r="C729" i="5"/>
  <c r="D729" i="5"/>
  <c r="E729" i="5"/>
  <c r="A730" i="5"/>
  <c r="B730" i="5"/>
  <c r="C730" i="5"/>
  <c r="D730" i="5"/>
  <c r="E730" i="5"/>
  <c r="A731" i="5"/>
  <c r="B731" i="5"/>
  <c r="C731" i="5"/>
  <c r="D731" i="5"/>
  <c r="E731" i="5"/>
  <c r="A732" i="5"/>
  <c r="B732" i="5"/>
  <c r="C732" i="5"/>
  <c r="D732" i="5"/>
  <c r="E732" i="5"/>
  <c r="A733" i="5"/>
  <c r="B733" i="5"/>
  <c r="C733" i="5"/>
  <c r="D733" i="5"/>
  <c r="E733" i="5"/>
  <c r="A734" i="5"/>
  <c r="B734" i="5"/>
  <c r="C734" i="5"/>
  <c r="D734" i="5"/>
  <c r="E734" i="5"/>
  <c r="A735" i="5"/>
  <c r="B735" i="5"/>
  <c r="C735" i="5"/>
  <c r="D735" i="5"/>
  <c r="E735" i="5"/>
  <c r="A736" i="5"/>
  <c r="B736" i="5"/>
  <c r="C736" i="5"/>
  <c r="D736" i="5"/>
  <c r="E736" i="5"/>
  <c r="A737" i="5"/>
  <c r="B737" i="5"/>
  <c r="C737" i="5"/>
  <c r="D737" i="5"/>
  <c r="E737" i="5"/>
  <c r="A738" i="5"/>
  <c r="B738" i="5"/>
  <c r="C738" i="5"/>
  <c r="D738" i="5"/>
  <c r="E738" i="5"/>
  <c r="A739" i="5"/>
  <c r="B739" i="5"/>
  <c r="C739" i="5"/>
  <c r="D739" i="5"/>
  <c r="E739" i="5"/>
  <c r="A740" i="5"/>
  <c r="B740" i="5"/>
  <c r="C740" i="5"/>
  <c r="D740" i="5"/>
  <c r="E740" i="5"/>
  <c r="A741" i="5"/>
  <c r="B741" i="5"/>
  <c r="C741" i="5"/>
  <c r="D741" i="5"/>
  <c r="E741" i="5"/>
  <c r="A742" i="5"/>
  <c r="B742" i="5"/>
  <c r="C742" i="5"/>
  <c r="D742" i="5"/>
  <c r="E742" i="5"/>
  <c r="A743" i="5"/>
  <c r="B743" i="5"/>
  <c r="C743" i="5"/>
  <c r="D743" i="5"/>
  <c r="E743" i="5"/>
  <c r="A744" i="5"/>
  <c r="B744" i="5"/>
  <c r="C744" i="5"/>
  <c r="D744" i="5"/>
  <c r="E744" i="5"/>
  <c r="A745" i="5"/>
  <c r="B745" i="5"/>
  <c r="C745" i="5"/>
  <c r="D745" i="5"/>
  <c r="E745" i="5"/>
  <c r="A746" i="5"/>
  <c r="B746" i="5"/>
  <c r="C746" i="5"/>
  <c r="D746" i="5"/>
  <c r="E746" i="5"/>
  <c r="A747" i="5"/>
  <c r="B747" i="5"/>
  <c r="C747" i="5"/>
  <c r="D747" i="5"/>
  <c r="E747" i="5"/>
  <c r="A748" i="5"/>
  <c r="B748" i="5"/>
  <c r="C748" i="5"/>
  <c r="D748" i="5"/>
  <c r="E748" i="5"/>
  <c r="A749" i="5"/>
  <c r="B749" i="5"/>
  <c r="C749" i="5"/>
  <c r="D749" i="5"/>
  <c r="E749" i="5"/>
  <c r="A750" i="5"/>
  <c r="B750" i="5"/>
  <c r="C750" i="5"/>
  <c r="D750" i="5"/>
  <c r="E750" i="5"/>
  <c r="A751" i="5"/>
  <c r="B751" i="5"/>
  <c r="C751" i="5"/>
  <c r="D751" i="5"/>
  <c r="E751" i="5"/>
  <c r="A752" i="5"/>
  <c r="B752" i="5"/>
  <c r="C752" i="5"/>
  <c r="D752" i="5"/>
  <c r="E752" i="5"/>
  <c r="A753" i="5"/>
  <c r="B753" i="5"/>
  <c r="C753" i="5"/>
  <c r="D753" i="5"/>
  <c r="E753" i="5"/>
  <c r="A754" i="5"/>
  <c r="B754" i="5"/>
  <c r="C754" i="5"/>
  <c r="D754" i="5"/>
  <c r="E754" i="5"/>
  <c r="A755" i="5"/>
  <c r="B755" i="5"/>
  <c r="C755" i="5"/>
  <c r="D755" i="5"/>
  <c r="E755" i="5"/>
  <c r="A756" i="5"/>
  <c r="B756" i="5"/>
  <c r="C756" i="5"/>
  <c r="D756" i="5"/>
  <c r="E756" i="5"/>
  <c r="A757" i="5"/>
  <c r="B757" i="5"/>
  <c r="C757" i="5"/>
  <c r="D757" i="5"/>
  <c r="E757" i="5"/>
  <c r="A758" i="5"/>
  <c r="B758" i="5"/>
  <c r="C758" i="5"/>
  <c r="D758" i="5"/>
  <c r="E758" i="5"/>
  <c r="A759" i="5"/>
  <c r="B759" i="5"/>
  <c r="C759" i="5"/>
  <c r="D759" i="5"/>
  <c r="E759" i="5"/>
  <c r="A760" i="5"/>
  <c r="B760" i="5"/>
  <c r="C760" i="5"/>
  <c r="D760" i="5"/>
  <c r="E760" i="5"/>
  <c r="A761" i="5"/>
  <c r="B761" i="5"/>
  <c r="C761" i="5"/>
  <c r="D761" i="5"/>
  <c r="E761" i="5"/>
  <c r="A762" i="5"/>
  <c r="B762" i="5"/>
  <c r="C762" i="5"/>
  <c r="D762" i="5"/>
  <c r="E762" i="5"/>
  <c r="A763" i="5"/>
  <c r="B763" i="5"/>
  <c r="C763" i="5"/>
  <c r="D763" i="5"/>
  <c r="E763" i="5"/>
  <c r="A764" i="5"/>
  <c r="B764" i="5"/>
  <c r="C764" i="5"/>
  <c r="D764" i="5"/>
  <c r="E764" i="5"/>
  <c r="A765" i="5"/>
  <c r="B765" i="5"/>
  <c r="C765" i="5"/>
  <c r="D765" i="5"/>
  <c r="E765" i="5"/>
  <c r="A766" i="5"/>
  <c r="B766" i="5"/>
  <c r="C766" i="5"/>
  <c r="D766" i="5"/>
  <c r="E766" i="5"/>
  <c r="A767" i="5"/>
  <c r="B767" i="5"/>
  <c r="C767" i="5"/>
  <c r="D767" i="5"/>
  <c r="E767" i="5"/>
  <c r="A768" i="5"/>
  <c r="B768" i="5"/>
  <c r="C768" i="5"/>
  <c r="D768" i="5"/>
  <c r="E768" i="5"/>
  <c r="A769" i="5"/>
  <c r="B769" i="5"/>
  <c r="C769" i="5"/>
  <c r="D769" i="5"/>
  <c r="E769" i="5"/>
  <c r="A770" i="5"/>
  <c r="B770" i="5"/>
  <c r="C770" i="5"/>
  <c r="D770" i="5"/>
  <c r="E770" i="5"/>
  <c r="A771" i="5"/>
  <c r="B771" i="5"/>
  <c r="C771" i="5"/>
  <c r="D771" i="5"/>
  <c r="E771" i="5"/>
  <c r="A772" i="5"/>
  <c r="B772" i="5"/>
  <c r="C772" i="5"/>
  <c r="D772" i="5"/>
  <c r="E772" i="5"/>
  <c r="A773" i="5"/>
  <c r="B773" i="5"/>
  <c r="C773" i="5"/>
  <c r="D773" i="5"/>
  <c r="E773" i="5"/>
  <c r="A774" i="5"/>
  <c r="B774" i="5"/>
  <c r="C774" i="5"/>
  <c r="D774" i="5"/>
  <c r="E774" i="5"/>
  <c r="A775" i="5"/>
  <c r="B775" i="5"/>
  <c r="C775" i="5"/>
  <c r="D775" i="5"/>
  <c r="E775" i="5"/>
  <c r="A776" i="5"/>
  <c r="B776" i="5"/>
  <c r="C776" i="5"/>
  <c r="D776" i="5"/>
  <c r="E776" i="5"/>
  <c r="A777" i="5"/>
  <c r="B777" i="5"/>
  <c r="C777" i="5"/>
  <c r="D777" i="5"/>
  <c r="E777" i="5"/>
  <c r="A778" i="5"/>
  <c r="B778" i="5"/>
  <c r="C778" i="5"/>
  <c r="D778" i="5"/>
  <c r="E778" i="5"/>
  <c r="A779" i="5"/>
  <c r="B779" i="5"/>
  <c r="C779" i="5"/>
  <c r="D779" i="5"/>
  <c r="E779" i="5"/>
  <c r="A780" i="5"/>
  <c r="B780" i="5"/>
  <c r="C780" i="5"/>
  <c r="D780" i="5"/>
  <c r="E780" i="5"/>
  <c r="A781" i="5"/>
  <c r="B781" i="5"/>
  <c r="C781" i="5"/>
  <c r="D781" i="5"/>
  <c r="E781" i="5"/>
  <c r="A782" i="5"/>
  <c r="B782" i="5"/>
  <c r="C782" i="5"/>
  <c r="D782" i="5"/>
  <c r="E782" i="5"/>
  <c r="A783" i="5"/>
  <c r="B783" i="5"/>
  <c r="C783" i="5"/>
  <c r="D783" i="5"/>
  <c r="E783" i="5"/>
  <c r="A784" i="5"/>
  <c r="B784" i="5"/>
  <c r="C784" i="5"/>
  <c r="D784" i="5"/>
  <c r="E784" i="5"/>
  <c r="A785" i="5"/>
  <c r="B785" i="5"/>
  <c r="C785" i="5"/>
  <c r="D785" i="5"/>
  <c r="E785" i="5"/>
  <c r="A786" i="5"/>
  <c r="B786" i="5"/>
  <c r="C786" i="5"/>
  <c r="D786" i="5"/>
  <c r="E786" i="5"/>
  <c r="A787" i="5"/>
  <c r="B787" i="5"/>
  <c r="C787" i="5"/>
  <c r="D787" i="5"/>
  <c r="E787" i="5"/>
  <c r="A788" i="5"/>
  <c r="B788" i="5"/>
  <c r="C788" i="5"/>
  <c r="D788" i="5"/>
  <c r="E788" i="5"/>
  <c r="A789" i="5"/>
  <c r="B789" i="5"/>
  <c r="C789" i="5"/>
  <c r="D789" i="5"/>
  <c r="E789" i="5"/>
  <c r="A790" i="5"/>
  <c r="B790" i="5"/>
  <c r="C790" i="5"/>
  <c r="D790" i="5"/>
  <c r="E790" i="5"/>
  <c r="A791" i="5"/>
  <c r="B791" i="5"/>
  <c r="C791" i="5"/>
  <c r="D791" i="5"/>
  <c r="E791" i="5"/>
  <c r="A792" i="5"/>
  <c r="B792" i="5"/>
  <c r="C792" i="5"/>
  <c r="D792" i="5"/>
  <c r="E792" i="5"/>
  <c r="A793" i="5"/>
  <c r="B793" i="5"/>
  <c r="C793" i="5"/>
  <c r="D793" i="5"/>
  <c r="E793" i="5"/>
  <c r="A794" i="5"/>
  <c r="B794" i="5"/>
  <c r="C794" i="5"/>
  <c r="D794" i="5"/>
  <c r="E794" i="5"/>
  <c r="A795" i="5"/>
  <c r="B795" i="5"/>
  <c r="C795" i="5"/>
  <c r="D795" i="5"/>
  <c r="E795" i="5"/>
  <c r="A796" i="5"/>
  <c r="B796" i="5"/>
  <c r="C796" i="5"/>
  <c r="D796" i="5"/>
  <c r="E796" i="5"/>
  <c r="A797" i="5"/>
  <c r="B797" i="5"/>
  <c r="C797" i="5"/>
  <c r="D797" i="5"/>
  <c r="E797" i="5"/>
  <c r="A798" i="5"/>
  <c r="B798" i="5"/>
  <c r="C798" i="5"/>
  <c r="D798" i="5"/>
  <c r="E798" i="5"/>
  <c r="A799" i="5"/>
  <c r="B799" i="5"/>
  <c r="C799" i="5"/>
  <c r="D799" i="5"/>
  <c r="E799" i="5"/>
  <c r="A800" i="5"/>
  <c r="B800" i="5"/>
  <c r="C800" i="5"/>
  <c r="D800" i="5"/>
  <c r="E800" i="5"/>
  <c r="A801" i="5"/>
  <c r="B801" i="5"/>
  <c r="C801" i="5"/>
  <c r="D801" i="5"/>
  <c r="E801" i="5"/>
  <c r="A802" i="5"/>
  <c r="B802" i="5"/>
  <c r="C802" i="5"/>
  <c r="D802" i="5"/>
  <c r="E802" i="5"/>
  <c r="A803" i="5"/>
  <c r="B803" i="5"/>
  <c r="C803" i="5"/>
  <c r="D803" i="5"/>
  <c r="E803" i="5"/>
  <c r="A804" i="5"/>
  <c r="B804" i="5"/>
  <c r="C804" i="5"/>
  <c r="D804" i="5"/>
  <c r="E804" i="5"/>
  <c r="A805" i="5"/>
  <c r="B805" i="5"/>
  <c r="C805" i="5"/>
  <c r="D805" i="5"/>
  <c r="E805" i="5"/>
  <c r="A806" i="5"/>
  <c r="B806" i="5"/>
  <c r="C806" i="5"/>
  <c r="D806" i="5"/>
  <c r="E806" i="5"/>
  <c r="A807" i="5"/>
  <c r="B807" i="5"/>
  <c r="C807" i="5"/>
  <c r="D807" i="5"/>
  <c r="E807" i="5"/>
  <c r="A808" i="5"/>
  <c r="B808" i="5"/>
  <c r="C808" i="5"/>
  <c r="D808" i="5"/>
  <c r="E808" i="5"/>
  <c r="A809" i="5"/>
  <c r="B809" i="5"/>
  <c r="C809" i="5"/>
  <c r="D809" i="5"/>
  <c r="E809" i="5"/>
  <c r="A810" i="5"/>
  <c r="B810" i="5"/>
  <c r="C810" i="5"/>
  <c r="D810" i="5"/>
  <c r="E810" i="5"/>
  <c r="A811" i="5"/>
  <c r="B811" i="5"/>
  <c r="C811" i="5"/>
  <c r="D811" i="5"/>
  <c r="E811" i="5"/>
  <c r="A812" i="5"/>
  <c r="B812" i="5"/>
  <c r="C812" i="5"/>
  <c r="D812" i="5"/>
  <c r="E812" i="5"/>
  <c r="A813" i="5"/>
  <c r="B813" i="5"/>
  <c r="C813" i="5"/>
  <c r="D813" i="5"/>
  <c r="E813" i="5"/>
  <c r="A814" i="5"/>
  <c r="B814" i="5"/>
  <c r="C814" i="5"/>
  <c r="D814" i="5"/>
  <c r="E814" i="5"/>
  <c r="A815" i="5"/>
  <c r="B815" i="5"/>
  <c r="C815" i="5"/>
  <c r="D815" i="5"/>
  <c r="E815" i="5"/>
  <c r="A816" i="5"/>
  <c r="B816" i="5"/>
  <c r="C816" i="5"/>
  <c r="D816" i="5"/>
  <c r="E816" i="5"/>
  <c r="A817" i="5"/>
  <c r="B817" i="5"/>
  <c r="C817" i="5"/>
  <c r="D817" i="5"/>
  <c r="E817" i="5"/>
  <c r="A818" i="5"/>
  <c r="B818" i="5"/>
  <c r="C818" i="5"/>
  <c r="D818" i="5"/>
  <c r="E818" i="5"/>
  <c r="A819" i="5"/>
  <c r="B819" i="5"/>
  <c r="C819" i="5"/>
  <c r="D819" i="5"/>
  <c r="E819" i="5"/>
  <c r="A820" i="5"/>
  <c r="B820" i="5"/>
  <c r="C820" i="5"/>
  <c r="D820" i="5"/>
  <c r="E820" i="5"/>
  <c r="A821" i="5"/>
  <c r="B821" i="5"/>
  <c r="C821" i="5"/>
  <c r="D821" i="5"/>
  <c r="E821" i="5"/>
  <c r="A822" i="5"/>
  <c r="B822" i="5"/>
  <c r="C822" i="5"/>
  <c r="D822" i="5"/>
  <c r="E822" i="5"/>
  <c r="A823" i="5"/>
  <c r="B823" i="5"/>
  <c r="C823" i="5"/>
  <c r="D823" i="5"/>
  <c r="E823" i="5"/>
  <c r="A824" i="5"/>
  <c r="B824" i="5"/>
  <c r="C824" i="5"/>
  <c r="D824" i="5"/>
  <c r="E824" i="5"/>
  <c r="A825" i="5"/>
  <c r="B825" i="5"/>
  <c r="C825" i="5"/>
  <c r="D825" i="5"/>
  <c r="E825" i="5"/>
  <c r="A826" i="5"/>
  <c r="B826" i="5"/>
  <c r="C826" i="5"/>
  <c r="D826" i="5"/>
  <c r="E826" i="5"/>
  <c r="A827" i="5"/>
  <c r="B827" i="5"/>
  <c r="C827" i="5"/>
  <c r="D827" i="5"/>
  <c r="E827" i="5"/>
  <c r="A828" i="5"/>
  <c r="B828" i="5"/>
  <c r="C828" i="5"/>
  <c r="D828" i="5"/>
  <c r="E828" i="5"/>
  <c r="A829" i="5"/>
  <c r="B829" i="5"/>
  <c r="C829" i="5"/>
  <c r="D829" i="5"/>
  <c r="E829" i="5"/>
  <c r="A830" i="5"/>
  <c r="B830" i="5"/>
  <c r="C830" i="5"/>
  <c r="D830" i="5"/>
  <c r="E830" i="5"/>
  <c r="A831" i="5"/>
  <c r="B831" i="5"/>
  <c r="C831" i="5"/>
  <c r="D831" i="5"/>
  <c r="E831" i="5"/>
  <c r="A832" i="5"/>
  <c r="B832" i="5"/>
  <c r="C832" i="5"/>
  <c r="D832" i="5"/>
  <c r="E832" i="5"/>
  <c r="A833" i="5"/>
  <c r="B833" i="5"/>
  <c r="C833" i="5"/>
  <c r="D833" i="5"/>
  <c r="E833" i="5"/>
  <c r="A834" i="5"/>
  <c r="B834" i="5"/>
  <c r="C834" i="5"/>
  <c r="D834" i="5"/>
  <c r="E834" i="5"/>
  <c r="A835" i="5"/>
  <c r="B835" i="5"/>
  <c r="C835" i="5"/>
  <c r="D835" i="5"/>
  <c r="E835" i="5"/>
  <c r="A836" i="5"/>
  <c r="B836" i="5"/>
  <c r="C836" i="5"/>
  <c r="D836" i="5"/>
  <c r="E836" i="5"/>
  <c r="A837" i="5"/>
  <c r="B837" i="5"/>
  <c r="C837" i="5"/>
  <c r="D837" i="5"/>
  <c r="E837" i="5"/>
  <c r="A838" i="5"/>
  <c r="B838" i="5"/>
  <c r="C838" i="5"/>
  <c r="D838" i="5"/>
  <c r="E838" i="5"/>
  <c r="A839" i="5"/>
  <c r="B839" i="5"/>
  <c r="C839" i="5"/>
  <c r="D839" i="5"/>
  <c r="E839" i="5"/>
  <c r="A840" i="5"/>
  <c r="B840" i="5"/>
  <c r="C840" i="5"/>
  <c r="D840" i="5"/>
  <c r="E840" i="5"/>
  <c r="A841" i="5"/>
  <c r="B841" i="5"/>
  <c r="C841" i="5"/>
  <c r="D841" i="5"/>
  <c r="E841" i="5"/>
  <c r="A842" i="5"/>
  <c r="B842" i="5"/>
  <c r="C842" i="5"/>
  <c r="D842" i="5"/>
  <c r="E842" i="5"/>
  <c r="A843" i="5"/>
  <c r="B843" i="5"/>
  <c r="C843" i="5"/>
  <c r="D843" i="5"/>
  <c r="E843" i="5"/>
  <c r="A844" i="5"/>
  <c r="B844" i="5"/>
  <c r="C844" i="5"/>
  <c r="D844" i="5"/>
  <c r="E844" i="5"/>
  <c r="A845" i="5"/>
  <c r="B845" i="5"/>
  <c r="C845" i="5"/>
  <c r="D845" i="5"/>
  <c r="E845" i="5"/>
  <c r="A846" i="5"/>
  <c r="B846" i="5"/>
  <c r="C846" i="5"/>
  <c r="D846" i="5"/>
  <c r="E846" i="5"/>
  <c r="A847" i="5"/>
  <c r="B847" i="5"/>
  <c r="C847" i="5"/>
  <c r="D847" i="5"/>
  <c r="E847" i="5"/>
  <c r="A848" i="5"/>
  <c r="B848" i="5"/>
  <c r="C848" i="5"/>
  <c r="D848" i="5"/>
  <c r="E848" i="5"/>
  <c r="A849" i="5"/>
  <c r="B849" i="5"/>
  <c r="C849" i="5"/>
  <c r="D849" i="5"/>
  <c r="E849" i="5"/>
  <c r="A850" i="5"/>
  <c r="B850" i="5"/>
  <c r="C850" i="5"/>
  <c r="D850" i="5"/>
  <c r="E850" i="5"/>
  <c r="A851" i="5"/>
  <c r="B851" i="5"/>
  <c r="C851" i="5"/>
  <c r="D851" i="5"/>
  <c r="E851" i="5"/>
  <c r="A852" i="5"/>
  <c r="B852" i="5"/>
  <c r="C852" i="5"/>
  <c r="D852" i="5"/>
  <c r="E852" i="5"/>
  <c r="A853" i="5"/>
  <c r="B853" i="5"/>
  <c r="C853" i="5"/>
  <c r="D853" i="5"/>
  <c r="E853" i="5"/>
  <c r="A854" i="5"/>
  <c r="B854" i="5"/>
  <c r="C854" i="5"/>
  <c r="D854" i="5"/>
  <c r="E854" i="5"/>
  <c r="A855" i="5"/>
  <c r="B855" i="5"/>
  <c r="C855" i="5"/>
  <c r="D855" i="5"/>
  <c r="E855" i="5"/>
  <c r="A856" i="5"/>
  <c r="B856" i="5"/>
  <c r="C856" i="5"/>
  <c r="D856" i="5"/>
  <c r="E856" i="5"/>
  <c r="A857" i="5"/>
  <c r="B857" i="5"/>
  <c r="C857" i="5"/>
  <c r="D857" i="5"/>
  <c r="E857" i="5"/>
  <c r="A858" i="5"/>
  <c r="B858" i="5"/>
  <c r="C858" i="5"/>
  <c r="D858" i="5"/>
  <c r="E858" i="5"/>
  <c r="A859" i="5"/>
  <c r="B859" i="5"/>
  <c r="C859" i="5"/>
  <c r="D859" i="5"/>
  <c r="E859" i="5"/>
  <c r="A860" i="5"/>
  <c r="B860" i="5"/>
  <c r="C860" i="5"/>
  <c r="D860" i="5"/>
  <c r="E860" i="5"/>
  <c r="A861" i="5"/>
  <c r="B861" i="5"/>
  <c r="C861" i="5"/>
  <c r="D861" i="5"/>
  <c r="E861" i="5"/>
  <c r="A862" i="5"/>
  <c r="B862" i="5"/>
  <c r="C862" i="5"/>
  <c r="D862" i="5"/>
  <c r="E862" i="5"/>
  <c r="A863" i="5"/>
  <c r="B863" i="5"/>
  <c r="C863" i="5"/>
  <c r="D863" i="5"/>
  <c r="E863" i="5"/>
  <c r="A864" i="5"/>
  <c r="B864" i="5"/>
  <c r="C864" i="5"/>
  <c r="D864" i="5"/>
  <c r="E864" i="5"/>
  <c r="A865" i="5"/>
  <c r="B865" i="5"/>
  <c r="C865" i="5"/>
  <c r="D865" i="5"/>
  <c r="E865" i="5"/>
  <c r="A866" i="5"/>
  <c r="B866" i="5"/>
  <c r="C866" i="5"/>
  <c r="D866" i="5"/>
  <c r="E866" i="5"/>
  <c r="A867" i="5"/>
  <c r="B867" i="5"/>
  <c r="C867" i="5"/>
  <c r="D867" i="5"/>
  <c r="E867" i="5"/>
  <c r="A868" i="5"/>
  <c r="B868" i="5"/>
  <c r="C868" i="5"/>
  <c r="D868" i="5"/>
  <c r="E868" i="5"/>
  <c r="A869" i="5"/>
  <c r="B869" i="5"/>
  <c r="C869" i="5"/>
  <c r="D869" i="5"/>
  <c r="E869" i="5"/>
  <c r="A870" i="5"/>
  <c r="B870" i="5"/>
  <c r="C870" i="5"/>
  <c r="D870" i="5"/>
  <c r="E870" i="5"/>
  <c r="A871" i="5"/>
  <c r="B871" i="5"/>
  <c r="C871" i="5"/>
  <c r="D871" i="5"/>
  <c r="E871" i="5"/>
  <c r="A872" i="5"/>
  <c r="B872" i="5"/>
  <c r="C872" i="5"/>
  <c r="D872" i="5"/>
  <c r="E872" i="5"/>
  <c r="A873" i="5"/>
  <c r="B873" i="5"/>
  <c r="C873" i="5"/>
  <c r="D873" i="5"/>
  <c r="E873" i="5"/>
  <c r="A874" i="5"/>
  <c r="B874" i="5"/>
  <c r="C874" i="5"/>
  <c r="D874" i="5"/>
  <c r="E874" i="5"/>
  <c r="A875" i="5"/>
  <c r="B875" i="5"/>
  <c r="C875" i="5"/>
  <c r="D875" i="5"/>
  <c r="E875" i="5"/>
  <c r="A876" i="5"/>
  <c r="B876" i="5"/>
  <c r="C876" i="5"/>
  <c r="D876" i="5"/>
  <c r="E876" i="5"/>
  <c r="A877" i="5"/>
  <c r="B877" i="5"/>
  <c r="C877" i="5"/>
  <c r="D877" i="5"/>
  <c r="E877" i="5"/>
  <c r="A878" i="5"/>
  <c r="B878" i="5"/>
  <c r="C878" i="5"/>
  <c r="D878" i="5"/>
  <c r="E878" i="5"/>
  <c r="A879" i="5"/>
  <c r="B879" i="5"/>
  <c r="C879" i="5"/>
  <c r="D879" i="5"/>
  <c r="E879" i="5"/>
  <c r="A880" i="5"/>
  <c r="B880" i="5"/>
  <c r="C880" i="5"/>
  <c r="D880" i="5"/>
  <c r="E880" i="5"/>
  <c r="A881" i="5"/>
  <c r="B881" i="5"/>
  <c r="C881" i="5"/>
  <c r="D881" i="5"/>
  <c r="E881" i="5"/>
  <c r="A882" i="5"/>
  <c r="B882" i="5"/>
  <c r="C882" i="5"/>
  <c r="D882" i="5"/>
  <c r="E882" i="5"/>
  <c r="D6" i="5"/>
  <c r="C6" i="5"/>
  <c r="B6" i="5"/>
  <c r="A6" i="5"/>
  <c r="E7" i="5" l="1"/>
  <c r="E14" i="5" l="1"/>
  <c r="E15" i="5"/>
  <c r="E16" i="5"/>
  <c r="E17" i="5"/>
  <c r="E18" i="5"/>
  <c r="E19" i="5"/>
  <c r="E20" i="5"/>
  <c r="E21" i="5"/>
  <c r="E22" i="5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XFB1" i="1" a="1"/>
  <c r="XFB1" i="1" s="1"/>
  <c r="XFA1" i="1" a="1"/>
  <c r="XFA1" i="1" s="1"/>
  <c r="E6" i="5" l="1"/>
  <c r="XFB5" i="1"/>
  <c r="XFB4" i="1"/>
  <c r="XFB3" i="1"/>
  <c r="XFB2" i="1"/>
  <c r="XFA43" i="1"/>
  <c r="XFA42" i="1"/>
  <c r="XFA41" i="1"/>
  <c r="XFA40" i="1"/>
  <c r="XFA39" i="1"/>
  <c r="XFA38" i="1"/>
  <c r="XFA37" i="1"/>
  <c r="XFA36" i="1"/>
  <c r="XFA35" i="1"/>
  <c r="XFA34" i="1"/>
  <c r="XFA33" i="1"/>
  <c r="XFA32" i="1"/>
  <c r="XFA31" i="1"/>
  <c r="XFA30" i="1"/>
  <c r="XFA29" i="1"/>
  <c r="XFA28" i="1"/>
  <c r="XFA27" i="1"/>
  <c r="XFA26" i="1"/>
  <c r="XFA25" i="1"/>
  <c r="XFA24" i="1"/>
  <c r="XFA23" i="1"/>
  <c r="XFA22" i="1"/>
  <c r="XFA21" i="1"/>
  <c r="XFA20" i="1"/>
  <c r="XFA19" i="1"/>
  <c r="XFA18" i="1"/>
  <c r="XFA17" i="1"/>
  <c r="XFA16" i="1"/>
  <c r="XFA15" i="1"/>
  <c r="XFA14" i="1"/>
  <c r="XFA13" i="1"/>
  <c r="XFA12" i="1"/>
  <c r="XFA11" i="1"/>
  <c r="XFA10" i="1"/>
  <c r="XFA9" i="1"/>
  <c r="XFA8" i="1"/>
  <c r="XFA7" i="1"/>
  <c r="XFA6" i="1"/>
  <c r="XFA5" i="1"/>
  <c r="XFA4" i="1"/>
  <c r="XFA3" i="1"/>
  <c r="XF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<sst xmlns="http://schemas.openxmlformats.org/spreadsheetml/2006/main" count="395" uniqueCount="213">
  <si>
    <t>MALZEME</t>
  </si>
  <si>
    <t xml:space="preserve">KALİTE </t>
  </si>
  <si>
    <t xml:space="preserve">ADET </t>
  </si>
  <si>
    <t>BOY</t>
  </si>
  <si>
    <t>RHS 80X40X4</t>
  </si>
  <si>
    <t>RHS 100X50X3</t>
  </si>
  <si>
    <t>RHS 100X50X5</t>
  </si>
  <si>
    <t>RHS 100X60X3,2</t>
  </si>
  <si>
    <t>RHS 100X60X5</t>
  </si>
  <si>
    <t>RHS 100X60X7</t>
  </si>
  <si>
    <t>RHS 120X60X5</t>
  </si>
  <si>
    <t>RHS 120X60X6,3</t>
  </si>
  <si>
    <t>RHS 120X100X6</t>
  </si>
  <si>
    <t>RHS 140X70X4</t>
  </si>
  <si>
    <t>RHS 160X80X6</t>
  </si>
  <si>
    <t>RHS 180X80X5</t>
  </si>
  <si>
    <t>RHS 180X120X8</t>
  </si>
  <si>
    <t>RHS 200X100X5</t>
  </si>
  <si>
    <t>RHS 200X100X10</t>
  </si>
  <si>
    <t>RHS 250X150X5</t>
  </si>
  <si>
    <t>RHS 250X150X5,4</t>
  </si>
  <si>
    <t>RHS 300X200X12,5</t>
  </si>
  <si>
    <t>RHS 450X250X12,5</t>
  </si>
  <si>
    <t>TARİH</t>
  </si>
  <si>
    <t>PROJE</t>
  </si>
  <si>
    <t xml:space="preserve">MALZEME </t>
  </si>
  <si>
    <t>KALİTE</t>
  </si>
  <si>
    <t>FİRE</t>
  </si>
  <si>
    <t>SHS 30X30X3</t>
  </si>
  <si>
    <t>SHS 40X40X3</t>
  </si>
  <si>
    <t>SHS 50X50X2</t>
  </si>
  <si>
    <t>SHS 50X50X3</t>
  </si>
  <si>
    <t>SHS 50X50X4</t>
  </si>
  <si>
    <t>SHS 50X50X5</t>
  </si>
  <si>
    <t>SHS 60X60X1,5</t>
  </si>
  <si>
    <t>SHS 60X60X4</t>
  </si>
  <si>
    <t>SHS 70X70X4</t>
  </si>
  <si>
    <t>SHS 80X80X3</t>
  </si>
  <si>
    <t>SHS 90X90X5</t>
  </si>
  <si>
    <t>SHS 100X100X4</t>
  </si>
  <si>
    <t>SHS 100X100X5</t>
  </si>
  <si>
    <t>SHS 100X100X6,3</t>
  </si>
  <si>
    <t>SHS 100X100X10</t>
  </si>
  <si>
    <t>SHS 120X120X3</t>
  </si>
  <si>
    <t>SHS 120X120X5</t>
  </si>
  <si>
    <t>SHS 120X120X12</t>
  </si>
  <si>
    <t>SHS 140X140X6</t>
  </si>
  <si>
    <t>SHS 150X150X5</t>
  </si>
  <si>
    <t>SHS 150X150X10</t>
  </si>
  <si>
    <t>SHS 200X200X8</t>
  </si>
  <si>
    <t>SHS 250X250X12,5</t>
  </si>
  <si>
    <t>SHS 60X60X5</t>
  </si>
  <si>
    <t>S235JR</t>
  </si>
  <si>
    <t>S355J2H</t>
  </si>
  <si>
    <t>S355JR</t>
  </si>
  <si>
    <t>S355J2</t>
  </si>
  <si>
    <t>S275JR</t>
  </si>
  <si>
    <t>BOY(MM)</t>
  </si>
  <si>
    <t>TÜR</t>
  </si>
  <si>
    <t>KUTU PROFİL</t>
  </si>
  <si>
    <t>KALAN ADET</t>
  </si>
  <si>
    <t>CHS 21X4</t>
  </si>
  <si>
    <t>CHS 27X3</t>
  </si>
  <si>
    <t>CHS 33,7X2,5</t>
  </si>
  <si>
    <t>CHS 38X3,20</t>
  </si>
  <si>
    <t>CHS 38X3,2</t>
  </si>
  <si>
    <t>CHS 38,5X3</t>
  </si>
  <si>
    <t>CHS 39X4</t>
  </si>
  <si>
    <t>CHS 42X4</t>
  </si>
  <si>
    <t>CHS 48X3,6</t>
  </si>
  <si>
    <t>CHS 48X5,4</t>
  </si>
  <si>
    <t>CHS 48,3X3</t>
  </si>
  <si>
    <t>CHS 48,3X3,2</t>
  </si>
  <si>
    <t>CHS 48,3X4</t>
  </si>
  <si>
    <t>CHS 51,5X3,5</t>
  </si>
  <si>
    <t>CHS 60X3</t>
  </si>
  <si>
    <t>CHS 60,3X4</t>
  </si>
  <si>
    <t>CHS 70X3</t>
  </si>
  <si>
    <t>CHS 73X5</t>
  </si>
  <si>
    <t>CHS 76X4,3</t>
  </si>
  <si>
    <t>CHS 76,3X4</t>
  </si>
  <si>
    <t>CHS 102X4</t>
  </si>
  <si>
    <t>CHS 114X4</t>
  </si>
  <si>
    <t>CHS 114X4,5</t>
  </si>
  <si>
    <t>CHS 114X6</t>
  </si>
  <si>
    <t>CHS 117X7,5</t>
  </si>
  <si>
    <t>CHS 139,7X5</t>
  </si>
  <si>
    <t>CHS 168X7</t>
  </si>
  <si>
    <t>CHS 168X7,1</t>
  </si>
  <si>
    <t>CHS 168,3X5</t>
  </si>
  <si>
    <t>CHS 168,3X5,6</t>
  </si>
  <si>
    <t>CHS 168,3X8</t>
  </si>
  <si>
    <t>CHS 173X4</t>
  </si>
  <si>
    <t>CHS 193,7X5</t>
  </si>
  <si>
    <t>CHS 195X6</t>
  </si>
  <si>
    <t>CHS 219X3</t>
  </si>
  <si>
    <t>CHS 221X3</t>
  </si>
  <si>
    <t>CHS 270X8</t>
  </si>
  <si>
    <t>CHS 323X3</t>
  </si>
  <si>
    <t>CHS 324X10</t>
  </si>
  <si>
    <t>CHS 341X11</t>
  </si>
  <si>
    <t>CHS 344X12</t>
  </si>
  <si>
    <t>CHS 406X9,5</t>
  </si>
  <si>
    <t>CHS 409X21</t>
  </si>
  <si>
    <t>CHS 450X7</t>
  </si>
  <si>
    <t>CHS 456X6</t>
  </si>
  <si>
    <t>CHS 610X13</t>
  </si>
  <si>
    <t>BORU PROFİL</t>
  </si>
  <si>
    <t>HEA PROFİL</t>
  </si>
  <si>
    <t>HEB PROFİL</t>
  </si>
  <si>
    <t>UNP PROFİL</t>
  </si>
  <si>
    <t>NPL PROFİL</t>
  </si>
  <si>
    <t>IPE120</t>
  </si>
  <si>
    <t>IPE PROFİL</t>
  </si>
  <si>
    <t>PASLANMAZ</t>
  </si>
  <si>
    <t>S355J0H</t>
  </si>
  <si>
    <t>NPI PROFİL</t>
  </si>
  <si>
    <t>Ø PROFİL</t>
  </si>
  <si>
    <t>Ø20</t>
  </si>
  <si>
    <t>KARE DOLU</t>
  </si>
  <si>
    <t>GEREKLİ ADET</t>
  </si>
  <si>
    <t xml:space="preserve">KESİLECEK PARÇA ADEDİ </t>
  </si>
  <si>
    <t>KESİLECEK PARÇA BOYU</t>
  </si>
  <si>
    <t>BIÇAK PAYI</t>
  </si>
  <si>
    <t>HURDA&lt;</t>
  </si>
  <si>
    <t>IPE180</t>
  </si>
  <si>
    <t>IPE100</t>
  </si>
  <si>
    <t>IPE200</t>
  </si>
  <si>
    <t>IPE400</t>
  </si>
  <si>
    <t>IPE140</t>
  </si>
  <si>
    <t>IPE360</t>
  </si>
  <si>
    <t>IPE240</t>
  </si>
  <si>
    <t>IPE220</t>
  </si>
  <si>
    <t>IPE500</t>
  </si>
  <si>
    <t>IPE450</t>
  </si>
  <si>
    <t>IPE300</t>
  </si>
  <si>
    <t>IPE330</t>
  </si>
  <si>
    <t>NPL80</t>
  </si>
  <si>
    <t>NPL60</t>
  </si>
  <si>
    <t>NPL120</t>
  </si>
  <si>
    <t>NPL75*7</t>
  </si>
  <si>
    <t>NPL50</t>
  </si>
  <si>
    <t>NPL70</t>
  </si>
  <si>
    <t>NPL100</t>
  </si>
  <si>
    <t>NPL40</t>
  </si>
  <si>
    <t>NPL30</t>
  </si>
  <si>
    <r>
      <t>NPL80</t>
    </r>
    <r>
      <rPr>
        <i/>
        <sz val="11"/>
        <color theme="1"/>
        <rFont val="Calibri"/>
        <family val="2"/>
        <scheme val="minor"/>
      </rPr>
      <t>80</t>
    </r>
    <r>
      <rPr>
        <sz val="11"/>
        <color theme="1"/>
        <rFont val="Calibri"/>
        <family val="2"/>
        <scheme val="minor"/>
      </rPr>
      <t>6</t>
    </r>
  </si>
  <si>
    <t>NPL90X10</t>
  </si>
  <si>
    <t>NPL150X75X10</t>
  </si>
  <si>
    <t>NPL90</t>
  </si>
  <si>
    <t>NPL220</t>
  </si>
  <si>
    <t>NPL150</t>
  </si>
  <si>
    <t>UNP60</t>
  </si>
  <si>
    <t>UNP65</t>
  </si>
  <si>
    <t>UNP70</t>
  </si>
  <si>
    <t>UNP100</t>
  </si>
  <si>
    <t>UNP120</t>
  </si>
  <si>
    <t>UNP140</t>
  </si>
  <si>
    <t>UNP160</t>
  </si>
  <si>
    <t>UNP180</t>
  </si>
  <si>
    <t>UNP200</t>
  </si>
  <si>
    <t>UNP220</t>
  </si>
  <si>
    <t>UNP260</t>
  </si>
  <si>
    <t>UNP320</t>
  </si>
  <si>
    <t>UNP380</t>
  </si>
  <si>
    <t>HEA100</t>
  </si>
  <si>
    <t>HEA120</t>
  </si>
  <si>
    <t>HEA140</t>
  </si>
  <si>
    <t>HEA160</t>
  </si>
  <si>
    <t>HEA180</t>
  </si>
  <si>
    <t>HEA200</t>
  </si>
  <si>
    <t>HEA240</t>
  </si>
  <si>
    <t>HEA260</t>
  </si>
  <si>
    <t>HEA280</t>
  </si>
  <si>
    <t>HEA300</t>
  </si>
  <si>
    <t>HEA320</t>
  </si>
  <si>
    <t>HEA360</t>
  </si>
  <si>
    <t>HEA400</t>
  </si>
  <si>
    <t>HEB180</t>
  </si>
  <si>
    <t>HEB400</t>
  </si>
  <si>
    <t>HEB360</t>
  </si>
  <si>
    <t>HEB550</t>
  </si>
  <si>
    <t>HEB100</t>
  </si>
  <si>
    <t>HEB120</t>
  </si>
  <si>
    <t>HEB200</t>
  </si>
  <si>
    <t>HEB140</t>
  </si>
  <si>
    <t>HEB300</t>
  </si>
  <si>
    <t>HEB220</t>
  </si>
  <si>
    <t>HEB240</t>
  </si>
  <si>
    <t>HEB450</t>
  </si>
  <si>
    <t>HEB1000</t>
  </si>
  <si>
    <t>HEB900</t>
  </si>
  <si>
    <t>NPI180</t>
  </si>
  <si>
    <t>NPI260</t>
  </si>
  <si>
    <t>NPI320</t>
  </si>
  <si>
    <t>NPI240</t>
  </si>
  <si>
    <t>Ø40</t>
  </si>
  <si>
    <t>Ø50</t>
  </si>
  <si>
    <t>Ø45</t>
  </si>
  <si>
    <t>Ø21</t>
  </si>
  <si>
    <t>Ø30</t>
  </si>
  <si>
    <t>Ø18</t>
  </si>
  <si>
    <t>Ø8</t>
  </si>
  <si>
    <t>Ø12</t>
  </si>
  <si>
    <t>Ø16</t>
  </si>
  <si>
    <t>Ø10</t>
  </si>
  <si>
    <t>Ø14</t>
  </si>
  <si>
    <t>KARE DOLU 50X50</t>
  </si>
  <si>
    <t>CHS 21X3</t>
  </si>
  <si>
    <t>EŞİT FİRE</t>
  </si>
  <si>
    <t>SONDAN KALAN FİRE</t>
  </si>
  <si>
    <t>EŞİT FİRE SAYISI</t>
  </si>
  <si>
    <t>TOTAL FİRE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</si>
</sst>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2" borderId="6" xfId="0" applyFont="1" applyFill="1" applyBorder="1"/>
    <xf numFmtId="0" fontId="4" fillId="2" borderId="6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4" fillId="2" borderId="5" xfId="0" applyNumberFormat="1" applyFont="1" applyFill="1" applyBorder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 vertical="center"/>
    </xf>
    <xf numFmtId="1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70">
    <dxf>
      <fill>
        <patternFill>
          <bgColor rgb="FF00B050"/>
        </patternFill>
      </fill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30" formatCode="@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rgb="FF00B05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3E0ED5-5908-4A3F-BCCF-E1CCC826AE19}" name="SK" displayName="SK" ref="A1:L896" totalsRowShown="0" headerRowDxfId="69" dataDxfId="67" headerRowBorderDxfId="68" tableBorderDxfId="66" totalsRowBorderDxfId="65">
  <autoFilter ref="A1:L896" xr:uid="{763E0ED5-5908-4A3F-BCCF-E1CCC826AE19}"/>
  <sortState xmlns:xlrd2="http://schemas.microsoft.com/office/spreadsheetml/2017/richdata2" ref="A2:J894">
    <sortCondition ref="B1:B894"/>
  </sortState>
  <tableColumns count="12">
    <tableColumn id="1" xr3:uid="{172C2467-F7DA-4FFD-ABD4-14B0FF13DAF0}" name="TARİH" dataDxfId="64"/>
    <tableColumn id="2" xr3:uid="{E0C335C4-59B7-430C-875F-AF2F5EABFC0D}" name="PROJE" dataDxfId="63"/>
    <tableColumn id="9" xr3:uid="{DD178C85-7040-43C0-8718-E98D32E62AE7}" name="TÜR" dataDxfId="62"/>
    <tableColumn id="3" xr3:uid="{8A51356C-21E6-43CA-9428-DA5ADC670E6A}" name="MALZEME " dataDxfId="61"/>
    <tableColumn id="4" xr3:uid="{8A270901-A09A-48E5-A939-516EDDA1C6C3}" name="KALİTE" dataDxfId="60"/>
    <tableColumn id="5" xr3:uid="{D12DF7FB-C21B-47E8-AB88-F716C93DBCCA}" name="KESİLECEK PARÇA ADEDİ " dataDxfId="59"/>
    <tableColumn id="6" xr3:uid="{311A8019-BEC7-4B4A-A307-AAF850CA2906}" name="KESİLECEK PARÇA BOYU" dataDxfId="58"/>
    <tableColumn id="7" xr3:uid="{8BA6BCB1-EA28-46C1-A409-2E3F90AB5E49}" name="GEREKLİ ADET" dataDxfId="57">
      <calculatedColumnFormula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calculatedColumnFormula>
    </tableColumn>
    <tableColumn id="8" xr3:uid="{A281D49D-4E51-4A75-B903-1908D22E074D}" name="BOY" dataDxfId="56"/>
    <tableColumn id="10" xr3:uid="{71211282-0D78-481D-B2F4-BBA50E2F5BDA}" name="FİRE" dataDxfId="55">
      <calculatedColumnFormula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calculatedColumnFormula>
    </tableColumn>
    <tableColumn id="11" xr3:uid="{A36B6DF6-EF9C-4491-A10F-E53EFB1716E3}" name="EŞİT FİRE" dataDxfId="54">
      <calculatedColumnFormula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calculatedColumnFormula>
    </tableColumn>
    <tableColumn id="12" xr3:uid="{78AFEC0E-DD89-4BE0-9678-5B051C86C487}" name="SONDAN KALAN FİRE" dataDxfId="53">
      <calculatedColumnFormula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76AD2A-DE31-4489-87F1-336BBB3B5F66}" name="KUTU" displayName="KUTU" ref="A1:E279" totalsRowShown="0" headerRowDxfId="51">
  <autoFilter ref="A1:E279" xr:uid="{5176AD2A-DE31-4489-87F1-336BBB3B5F66}"/>
  <tableColumns count="5">
    <tableColumn id="1" xr3:uid="{6E23C23E-F9DB-4404-A494-B2A317E1D5ED}" name="MALZEME"/>
    <tableColumn id="2" xr3:uid="{CA9BB335-6E25-4EB0-9404-040ECDA5BE05}" name="KALİTE "/>
    <tableColumn id="3" xr3:uid="{D74311F5-ED68-4DD9-9FAD-AAC4F442E0B6}" name="ADET " dataDxfId="50"/>
    <tableColumn id="4" xr3:uid="{26CC35F4-C865-4662-9883-C3D15178EF08}" name="BOY(MM)"/>
    <tableColumn id="5" xr3:uid="{DD3090D3-97D9-436C-9E88-F42785CB6F2E}" name="KALAN ADET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7C42EC-2600-4A51-BC5B-52DCB92D6491}" name="Tablo8" displayName="Tablo8" ref="A1:E234" totalsRowShown="0" headerRowDxfId="48" headerRowBorderDxfId="47" tableBorderDxfId="46">
  <autoFilter ref="A1:E234" xr:uid="{337C42EC-2600-4A51-BC5B-52DCB92D6491}"/>
  <tableColumns count="5">
    <tableColumn id="1" xr3:uid="{3BB56D3B-677D-4344-A240-B1E16DED1AA6}" name="MALZEME" dataDxfId="45"/>
    <tableColumn id="2" xr3:uid="{3B21F10F-8CB8-4493-AD61-D31D10CA4D30}" name="KALİTE "/>
    <tableColumn id="3" xr3:uid="{6CDD0F1E-CC13-4492-A16A-60CC3F2C506D}" name="ADET "/>
    <tableColumn id="4" xr3:uid="{D617FF80-8DD3-4536-B300-0BB14D8741AD}" name="BOY(MM)"/>
    <tableColumn id="5" xr3:uid="{59E2B161-A1EC-45CB-9918-81B41E3819EF}" name="KALAN AD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7391311-64BA-41A3-A8CC-AD93AAE65404}" name="Tablo13" displayName="Tablo13" ref="A1:E55" totalsRowShown="0" headerRowDxfId="44" headerRowBorderDxfId="43" tableBorderDxfId="42">
  <autoFilter ref="A1:E55" xr:uid="{B7391311-64BA-41A3-A8CC-AD93AAE65404}"/>
  <tableColumns count="5">
    <tableColumn id="1" xr3:uid="{53DED1DD-37EB-4CF8-A9B1-6284EC4426B6}" name="MALZEME" dataDxfId="41"/>
    <tableColumn id="2" xr3:uid="{6B22B7F5-85D4-47AD-8D02-2488527AFCFA}" name="KALİTE " dataDxfId="40"/>
    <tableColumn id="3" xr3:uid="{1E7C0304-5F0A-4713-83D2-964706E0E5E0}" name="ADET "/>
    <tableColumn id="4" xr3:uid="{5BD64927-C9AD-4B26-8F0C-934FC22CD03A}" name="BOY(MM)"/>
    <tableColumn id="5" xr3:uid="{F4636033-9E94-4F4D-B5C4-1C74580215E4}" name="KALAN ADET">
      <calculatedColumnFormula array="1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E75FEF9-250A-4127-9FC1-775BF0CD138F}" name="Tablo12" displayName="Tablo12" ref="A1:E55" totalsRowShown="0" headerRowDxfId="39" headerRowBorderDxfId="38" tableBorderDxfId="37">
  <autoFilter ref="A1:E55" xr:uid="{FE75FEF9-250A-4127-9FC1-775BF0CD138F}"/>
  <tableColumns count="5">
    <tableColumn id="1" xr3:uid="{31F5512B-647F-4A61-BB03-AC1E270F8FFB}" name="MALZEME" dataDxfId="36"/>
    <tableColumn id="2" xr3:uid="{E1539F8B-0B12-4118-8CEB-B57DB5E1FA52}" name="KALİTE " dataDxfId="35"/>
    <tableColumn id="3" xr3:uid="{3E1C3110-3678-4360-A607-63F14CF87480}" name="ADET "/>
    <tableColumn id="4" xr3:uid="{DEB04D0B-D064-4F17-979D-CA0E40E6D0C3}" name="BOY(MM)"/>
    <tableColumn id="5" xr3:uid="{CA1C1C23-83B0-44D3-80C8-3A356B9FE824}" name="KALAN ADET">
      <calculatedColumnFormula array="1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140045-A429-4EEA-B14B-9886CADE8B08}" name="Tablo11" displayName="Tablo11" ref="A1:E55" totalsRowShown="0" headerRowDxfId="34" headerRowBorderDxfId="33" tableBorderDxfId="32">
  <autoFilter ref="A1:E55" xr:uid="{58140045-A429-4EEA-B14B-9886CADE8B08}"/>
  <tableColumns count="5">
    <tableColumn id="1" xr3:uid="{BA82D22D-B393-4B14-A67A-2D4085818AD5}" name="MALZEME" dataDxfId="31"/>
    <tableColumn id="2" xr3:uid="{1006D4E4-9830-42C4-8335-AB1C73DE5F71}" name="KALİTE " dataDxfId="30"/>
    <tableColumn id="3" xr3:uid="{32825D0D-574B-4FAF-A921-FCEA4AC40431}" name="ADET "/>
    <tableColumn id="4" xr3:uid="{F82E60B7-9A8A-4F6B-B7D3-0B490E6D0A36}" name="BOY(MM)"/>
    <tableColumn id="5" xr3:uid="{05101645-C999-4841-915D-234DB002301E}" name="KALAN ADET">
      <calculatedColumnFormula array="1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69E986-278F-4140-A6AA-3C6D9CE3C255}" name="Tablo9" displayName="Tablo9" ref="A1:E55" totalsRowShown="0" headerRowDxfId="29" headerRowBorderDxfId="28" tableBorderDxfId="27">
  <autoFilter ref="A1:E55" xr:uid="{0369E986-278F-4140-A6AA-3C6D9CE3C255}"/>
  <tableColumns count="5">
    <tableColumn id="1" xr3:uid="{7791766B-F7FA-45DB-98E5-0916ED3927B6}" name="MALZEME" dataDxfId="26"/>
    <tableColumn id="2" xr3:uid="{59E3F59A-A96A-46A2-85D6-EFA5EA0C6AB1}" name="KALİTE " dataDxfId="25"/>
    <tableColumn id="3" xr3:uid="{27A399A8-5C1A-4EAA-A46B-569FAC159E45}" name="ADET "/>
    <tableColumn id="4" xr3:uid="{088732A8-16B2-47EC-8007-547E0C098640}" name="BOY(MM)"/>
    <tableColumn id="5" xr3:uid="{50F0E6C8-8E9F-4519-8F47-3606F6251EC9}" name="KALAN ADET">
      <calculatedColumnFormula array="1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0CBB93-7328-4A89-B862-AEB81150BCAF}" name="Tablo10" displayName="Tablo10" ref="A1:E55" totalsRowShown="0" headerRowDxfId="24" headerRowBorderDxfId="23" tableBorderDxfId="22">
  <autoFilter ref="A1:E55" xr:uid="{DC0CBB93-7328-4A89-B862-AEB81150BCAF}"/>
  <tableColumns count="5">
    <tableColumn id="1" xr3:uid="{836CFCBC-D0C9-4A0B-BEC2-56A86AB139C9}" name="MALZEME" dataDxfId="21"/>
    <tableColumn id="2" xr3:uid="{8672173D-4080-4337-9FBB-899275B08D91}" name="KALİTE " dataDxfId="20"/>
    <tableColumn id="3" xr3:uid="{E9FF1F5E-255A-4B94-9904-9F5CEB4C6BEE}" name="ADET "/>
    <tableColumn id="4" xr3:uid="{DB2D788C-EE91-44EA-B8ED-9C480A5525AF}" name="BOY(MM)"/>
    <tableColumn id="5" xr3:uid="{67C5DACF-CA47-44D5-A3FC-CCE48184EAC5}" name="KALAN ADET">
      <calculatedColumnFormula array="1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EE9059-7315-4899-8719-625DFEF2275F}" name="Tablo14" displayName="Tablo14" ref="A1:E55" totalsRowShown="0" headerRowDxfId="19" dataDxfId="17" headerRowBorderDxfId="18" tableBorderDxfId="16">
  <autoFilter ref="A1:E55" xr:uid="{AEEE9059-7315-4899-8719-625DFEF2275F}"/>
  <tableColumns count="5">
    <tableColumn id="1" xr3:uid="{92FE27AC-9DD5-4E65-9668-264DE7AF6B9D}" name="MALZEME" dataDxfId="15"/>
    <tableColumn id="2" xr3:uid="{C7E6E5B8-538B-48CF-90FE-2674F42A5D45}" name="KALİTE " dataDxfId="14"/>
    <tableColumn id="3" xr3:uid="{9B53961C-FA9A-4478-BD86-4BF5FD833B46}" name="ADET " dataDxfId="13"/>
    <tableColumn id="4" xr3:uid="{B2267A74-CC40-4F0F-9196-2AD01D6129CC}" name="BOY(MM)" dataDxfId="12"/>
    <tableColumn id="5" xr3:uid="{58363035-6849-4BC9-9913-C0112430703C}" name="KALAN ADET" dataDxfId="11">
      <calculatedColumnFormula array="1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90A9613-AC98-48F4-A102-F3A11E362BC7}" name="Tablo15" displayName="Tablo15" ref="A1:E55" totalsRowShown="0" headerRowDxfId="10" headerRowBorderDxfId="9" tableBorderDxfId="8">
  <autoFilter ref="A1:E55" xr:uid="{490A9613-AC98-48F4-A102-F3A11E362BC7}"/>
  <tableColumns count="5">
    <tableColumn id="1" xr3:uid="{7E805635-F60A-4968-9DE7-CB8C928DBEC2}" name="MALZEME" dataDxfId="7"/>
    <tableColumn id="2" xr3:uid="{4908253D-DB70-4F14-AC0B-39390000B2E4}" name="KALİTE " dataDxfId="6"/>
    <tableColumn id="3" xr3:uid="{21E6C361-9A12-4E58-9593-6605452966AA}" name="ADET "/>
    <tableColumn id="4" xr3:uid="{5EA3A629-A939-4453-A590-81A4C0780C34}" name="BOY(MM)"/>
    <tableColumn id="5" xr3:uid="{609FBC9E-4515-4C49-ABD2-CDC8022844CE}" name="KALAN ADET">
      <calculatedColumnFormula array="1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287AAEF-1CB0-4AAB-8AE8-87B0B3524435}" name="Tablo16" displayName="Tablo16" ref="A1:E55" totalsRowShown="0" headerRowDxfId="5" headerRowBorderDxfId="4" tableBorderDxfId="3">
  <autoFilter ref="A1:E55" xr:uid="{4287AAEF-1CB0-4AAB-8AE8-87B0B3524435}"/>
  <tableColumns count="5">
    <tableColumn id="1" xr3:uid="{F2E23C69-0D24-4FBD-A99D-D498CF26061C}" name="MALZEME" dataDxfId="2"/>
    <tableColumn id="2" xr3:uid="{6BC81C9A-A7C8-4ECA-8B1C-1D373CDABB63}" name="KALİTE " dataDxfId="1"/>
    <tableColumn id="3" xr3:uid="{A52053A6-1BB3-4E16-B55A-43B99CF04669}" name="ADET "/>
    <tableColumn id="4" xr3:uid="{66D1DBB7-80FB-49A2-A94C-6BCF1EB42982}" name="BOY(MM)"/>
    <tableColumn id="5" xr3:uid="{48770252-8C00-49DE-A758-2E5D7D636F2E}" name="KALAN ADET">
      <calculatedColumnFormula array="1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A7C5-DE44-4B7F-8936-FCC3EA5684E4}">
  <sheetPr codeName="Sayfa2"/>
  <dimension ref="A1:XFC896"/>
  <sheetViews>
    <sheetView tabSelected="1" zoomScaleNormal="100" workbookViewId="0">
      <selection activeCell="O18" sqref="O18"/>
    </sheetView>
  </sheetViews>
  <sheetFormatPr defaultRowHeight="14.4" x14ac:dyDescent="0.3"/>
  <cols>
    <col min="1" max="1" width="11.33203125" style="9" customWidth="1"/>
    <col min="2" max="2" width="8.88671875" style="9"/>
    <col min="3" max="3" width="13" style="9" customWidth="1"/>
    <col min="4" max="4" width="16" style="26" customWidth="1"/>
    <col min="5" max="5" width="17.77734375" style="9" customWidth="1"/>
    <col min="6" max="6" width="23.21875" style="9" customWidth="1"/>
    <col min="7" max="7" width="26.44140625" style="9" customWidth="1"/>
    <col min="8" max="8" width="16.21875" style="9" customWidth="1"/>
    <col min="9" max="9" width="15.88671875" style="9" customWidth="1"/>
    <col min="10" max="10" width="9" style="9" bestFit="1" customWidth="1"/>
    <col min="11" max="11" width="13" style="9" hidden="1" customWidth="1"/>
    <col min="12" max="12" width="23.33203125" style="9" hidden="1" customWidth="1"/>
    <col min="13" max="13" width="11" style="9" customWidth="1"/>
    <col min="14" max="15" width="10.77734375" style="9" customWidth="1"/>
    <col min="16" max="17" width="8.88671875" style="9"/>
    <col min="18" max="18" width="9.88671875" style="9" bestFit="1" customWidth="1"/>
    <col min="19" max="16376" width="8.88671875" style="9"/>
    <col min="16377" max="16377" width="6" style="9" customWidth="1"/>
    <col min="16378" max="16378" width="8.88671875" style="9" hidden="1" customWidth="1"/>
    <col min="16379" max="16379" width="8.6640625" style="9" hidden="1" customWidth="1"/>
    <col min="16380" max="16380" width="17.21875" style="9" customWidth="1"/>
    <col min="16381" max="16381" width="11.5546875" style="9" customWidth="1"/>
    <col min="16382" max="16382" width="14.33203125" style="9" customWidth="1"/>
    <col min="16383" max="16384" width="16.88671875" style="9" customWidth="1"/>
  </cols>
  <sheetData>
    <row r="1" spans="1:16 16376:16383" x14ac:dyDescent="0.3">
      <c r="A1" s="18" t="s">
        <v>23</v>
      </c>
      <c r="B1" s="18" t="s">
        <v>24</v>
      </c>
      <c r="C1" s="18" t="s">
        <v>58</v>
      </c>
      <c r="D1" s="28" t="s">
        <v>25</v>
      </c>
      <c r="E1" s="18" t="s">
        <v>26</v>
      </c>
      <c r="F1" s="18" t="s">
        <v>121</v>
      </c>
      <c r="G1" s="18" t="s">
        <v>122</v>
      </c>
      <c r="H1" s="18" t="s">
        <v>120</v>
      </c>
      <c r="I1" s="19" t="s">
        <v>3</v>
      </c>
      <c r="J1" s="19" t="s">
        <v>27</v>
      </c>
      <c r="K1" s="19" t="s">
        <v>209</v>
      </c>
      <c r="L1" s="19" t="s">
        <v>210</v>
      </c>
      <c r="O1" s="14" t="s">
        <v>123</v>
      </c>
      <c r="P1" s="15" t="s">
        <v>124</v>
      </c>
      <c r="XEV1" s="9">
        <v>6000</v>
      </c>
      <c r="XEZ1" s="9" t="s">
        <v>59</v>
      </c>
      <c r="XFB1" s="6"/>
      <c r="XFC1" s="9" t="s">
        <v>52</v>
      </c>
    </row>
    <row r="2" spans="1:16 16376:16383" ht="15" thickBot="1" x14ac:dyDescent="0.35">
      <c r="A2" s="20"/>
      <c r="B2" s="20"/>
      <c r="C2" s="20"/>
      <c r="E2" s="20"/>
      <c r="F2" s="20"/>
      <c r="G2" s="20"/>
      <c r="H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" s="21">
        <v>6000</v>
      </c>
      <c r="J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O2" s="16">
        <v>3</v>
      </c>
      <c r="P2" s="17">
        <v>1000</v>
      </c>
      <c r="XEV2" s="9">
        <v>12000</v>
      </c>
      <c r="XEZ2" s="9" t="s">
        <v>107</v>
      </c>
      <c r="XFB2" s="6"/>
      <c r="XFC2" s="9" t="s">
        <v>53</v>
      </c>
    </row>
    <row r="3" spans="1:16 16376:16383" x14ac:dyDescent="0.3">
      <c r="A3" s="20"/>
      <c r="B3" s="20"/>
      <c r="C3" s="20"/>
      <c r="D3" s="29"/>
      <c r="E3" s="20"/>
      <c r="F3" s="20"/>
      <c r="G3" s="20"/>
      <c r="H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" s="21">
        <v>6000</v>
      </c>
      <c r="J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EZ3" s="9" t="s">
        <v>108</v>
      </c>
      <c r="XFB3" s="6"/>
      <c r="XFC3" s="9" t="s">
        <v>54</v>
      </c>
    </row>
    <row r="4" spans="1:16 16376:16383" x14ac:dyDescent="0.3">
      <c r="A4" s="20"/>
      <c r="B4" s="20"/>
      <c r="C4" s="20"/>
      <c r="D4" s="29"/>
      <c r="E4" s="20"/>
      <c r="F4" s="20"/>
      <c r="G4" s="20"/>
      <c r="H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" s="21">
        <v>12000</v>
      </c>
      <c r="J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EZ4" s="9" t="s">
        <v>109</v>
      </c>
      <c r="XFB4" s="6"/>
      <c r="XFC4" s="9" t="s">
        <v>55</v>
      </c>
    </row>
    <row r="5" spans="1:16 16376:16383" x14ac:dyDescent="0.3">
      <c r="A5" s="20"/>
      <c r="B5" s="20"/>
      <c r="C5" s="20"/>
      <c r="D5" s="29"/>
      <c r="E5" s="20"/>
      <c r="F5" s="20"/>
      <c r="G5" s="20"/>
      <c r="H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" s="21">
        <v>6000</v>
      </c>
      <c r="J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EZ5" s="9" t="s">
        <v>110</v>
      </c>
      <c r="XFB5" s="6"/>
      <c r="XFC5" s="9" t="s">
        <v>56</v>
      </c>
    </row>
    <row r="6" spans="1:16 16376:16383" x14ac:dyDescent="0.3">
      <c r="A6" s="20"/>
      <c r="B6" s="20"/>
      <c r="C6" s="20"/>
      <c r="D6" s="29"/>
      <c r="E6" s="20"/>
      <c r="F6" s="20"/>
      <c r="G6" s="20"/>
      <c r="H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" s="21"/>
      <c r="J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EZ6" s="9" t="s">
        <v>111</v>
      </c>
      <c r="XFB6" s="6"/>
      <c r="XFC6" s="9" t="s">
        <v>114</v>
      </c>
    </row>
    <row r="7" spans="1:16 16376:16383" x14ac:dyDescent="0.3">
      <c r="A7" s="37">
        <v>45895</v>
      </c>
      <c r="B7" s="20">
        <v>225</v>
      </c>
      <c r="C7" s="20" t="s">
        <v>59</v>
      </c>
      <c r="D7" s="29" t="s">
        <v>5</v>
      </c>
      <c r="E7" s="20" t="s">
        <v>56</v>
      </c>
      <c r="F7" s="20">
        <v>2</v>
      </c>
      <c r="G7" s="20">
        <v>3000</v>
      </c>
      <c r="H7" s="20">
        <f>IF(OR(SK[[#This Row],[KESİLECEK PARÇA ADEDİ ]]*(SK[[#This Row],[KESİLECEK PARÇA BOYU]]+O2)&lt;=SK[[#This Row],[BOY]],SK[[#This Row],[KESİLECEK PARÇA ADEDİ ]]*SK[[#This Row],[KESİLECEK PARÇA BOYU]]+O2*(SK[[#This Row],[KESİLECEK PARÇA ADEDİ ]]-1)&lt;=SK[[#This Row],[BOY]]),1,ROUNDUP(SK[[#This Row],[BOY]]/(SK[[#This Row],[KESİLECEK PARÇA BOYU]]+O2),0))</f>
        <v>2</v>
      </c>
      <c r="I7" s="21">
        <v>6000</v>
      </c>
      <c r="J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INT(SK[[#This Row],[BOY]]/(SK[[#This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EZ7" s="9" t="s">
        <v>113</v>
      </c>
      <c r="XFB7" s="6"/>
      <c r="XFC7" s="9" t="s">
        <v>115</v>
      </c>
    </row>
    <row r="8" spans="1:16 16376:16383" ht="15.6" customHeight="1" x14ac:dyDescent="0.3">
      <c r="A8" s="20"/>
      <c r="B8" s="20"/>
      <c r="C8" s="20"/>
      <c r="D8" s="29"/>
      <c r="E8" s="20"/>
      <c r="F8" s="20"/>
      <c r="G8" s="20"/>
      <c r="H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" s="21">
        <v>12000</v>
      </c>
      <c r="J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M8" s="6"/>
      <c r="N8" s="6"/>
      <c r="O8" s="6"/>
      <c r="XEZ8" s="9" t="s">
        <v>116</v>
      </c>
      <c r="XFB8" s="6"/>
    </row>
    <row r="9" spans="1:16 16376:16383" ht="14.4" customHeight="1" x14ac:dyDescent="0.3">
      <c r="A9" s="20"/>
      <c r="B9" s="20"/>
      <c r="C9" s="20"/>
      <c r="D9" s="29"/>
      <c r="E9" s="20"/>
      <c r="F9" s="20"/>
      <c r="G9" s="20"/>
      <c r="H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" s="21">
        <v>12000</v>
      </c>
      <c r="J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P9" s="11"/>
      <c r="XEZ9" s="9" t="s">
        <v>117</v>
      </c>
      <c r="XFB9" s="6"/>
    </row>
    <row r="10" spans="1:16 16376:16383" ht="14.4" customHeight="1" x14ac:dyDescent="0.3">
      <c r="A10" s="20"/>
      <c r="B10" s="20"/>
      <c r="C10" s="20"/>
      <c r="D10" s="29"/>
      <c r="E10" s="20"/>
      <c r="F10" s="20"/>
      <c r="G10" s="20"/>
      <c r="H1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" s="21">
        <v>12000</v>
      </c>
      <c r="J1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EZ10" s="9" t="s">
        <v>119</v>
      </c>
      <c r="XFB10" s="6"/>
    </row>
    <row r="11" spans="1:16 16376:16383" x14ac:dyDescent="0.3">
      <c r="A11" s="20"/>
      <c r="B11" s="20"/>
      <c r="C11" s="20"/>
      <c r="D11" s="29"/>
      <c r="E11" s="20"/>
      <c r="F11" s="20"/>
      <c r="G11" s="20"/>
      <c r="H1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" s="21"/>
      <c r="J1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11" s="6"/>
    </row>
    <row r="12" spans="1:16 16376:16383" x14ac:dyDescent="0.3">
      <c r="A12" s="20"/>
      <c r="B12" s="20"/>
      <c r="C12" s="20"/>
      <c r="D12" s="29"/>
      <c r="E12" s="20"/>
      <c r="F12" s="20"/>
      <c r="G12" s="20"/>
      <c r="H1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" s="21">
        <v>6000</v>
      </c>
      <c r="J1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12" s="6"/>
    </row>
    <row r="13" spans="1:16 16376:16383" x14ac:dyDescent="0.3">
      <c r="A13" s="20"/>
      <c r="B13" s="20"/>
      <c r="C13" s="20"/>
      <c r="D13" s="29"/>
      <c r="E13" s="20"/>
      <c r="F13" s="20"/>
      <c r="G13" s="20"/>
      <c r="H1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" s="21"/>
      <c r="J1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13" s="6"/>
    </row>
    <row r="14" spans="1:16 16376:16383" x14ac:dyDescent="0.3">
      <c r="A14" s="20"/>
      <c r="B14" s="20"/>
      <c r="C14" s="20"/>
      <c r="D14" s="29"/>
      <c r="E14" s="20"/>
      <c r="F14" s="20"/>
      <c r="G14" s="20"/>
      <c r="H1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" s="21"/>
      <c r="J1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14" s="6"/>
    </row>
    <row r="15" spans="1:16 16376:16383" x14ac:dyDescent="0.3">
      <c r="A15" s="20"/>
      <c r="B15" s="20"/>
      <c r="C15" s="20"/>
      <c r="D15" s="29"/>
      <c r="E15" s="20"/>
      <c r="F15" s="20"/>
      <c r="G15" s="20"/>
      <c r="H1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" s="21">
        <v>12000</v>
      </c>
      <c r="J1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15" s="6"/>
    </row>
    <row r="16" spans="1:16 16376:16383" x14ac:dyDescent="0.3">
      <c r="A16" s="20"/>
      <c r="B16" s="20"/>
      <c r="C16" s="20"/>
      <c r="D16" s="29"/>
      <c r="E16" s="20"/>
      <c r="F16" s="20"/>
      <c r="G16" s="20"/>
      <c r="H1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" s="21"/>
      <c r="J1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16" s="6"/>
    </row>
    <row r="17" spans="1:12 16382:16382" x14ac:dyDescent="0.3">
      <c r="A17" s="37">
        <v>45895</v>
      </c>
      <c r="B17" s="20">
        <v>225</v>
      </c>
      <c r="C17" s="20" t="s">
        <v>59</v>
      </c>
      <c r="D17" s="29" t="s">
        <v>5</v>
      </c>
      <c r="E17" s="20" t="s">
        <v>52</v>
      </c>
      <c r="F17" s="20">
        <v>4</v>
      </c>
      <c r="G17" s="20">
        <v>4815</v>
      </c>
      <c r="H1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2</v>
      </c>
      <c r="I17" s="21">
        <v>12000</v>
      </c>
      <c r="J1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4728</v>
      </c>
      <c r="K1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2364</v>
      </c>
      <c r="L1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17" s="6"/>
    </row>
    <row r="18" spans="1:12 16382:16382" x14ac:dyDescent="0.3">
      <c r="A18" s="20"/>
      <c r="B18" s="20"/>
      <c r="C18" s="20"/>
      <c r="D18" s="29"/>
      <c r="E18" s="20"/>
      <c r="F18" s="20"/>
      <c r="G18" s="20"/>
      <c r="H1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" s="21"/>
      <c r="J1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18" s="6"/>
    </row>
    <row r="19" spans="1:12 16382:16382" x14ac:dyDescent="0.3">
      <c r="A19" s="20"/>
      <c r="B19" s="20"/>
      <c r="C19" s="20"/>
      <c r="D19" s="29"/>
      <c r="E19" s="20"/>
      <c r="F19" s="20"/>
      <c r="G19" s="20"/>
      <c r="H1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" s="21"/>
      <c r="J1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19" s="6"/>
    </row>
    <row r="20" spans="1:12 16382:16382" x14ac:dyDescent="0.3">
      <c r="A20" s="20"/>
      <c r="B20" s="20"/>
      <c r="C20" s="20"/>
      <c r="D20" s="29"/>
      <c r="E20" s="20"/>
      <c r="F20" s="20"/>
      <c r="G20" s="20"/>
      <c r="H2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" s="21">
        <v>6000</v>
      </c>
      <c r="J2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0" s="6"/>
    </row>
    <row r="21" spans="1:12 16382:16382" x14ac:dyDescent="0.3">
      <c r="A21" s="20"/>
      <c r="B21" s="20"/>
      <c r="C21" s="20"/>
      <c r="D21" s="29"/>
      <c r="E21" s="20"/>
      <c r="F21" s="20"/>
      <c r="G21" s="20"/>
      <c r="H2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" s="21"/>
      <c r="J2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1" s="6"/>
    </row>
    <row r="22" spans="1:12 16382:16382" x14ac:dyDescent="0.3">
      <c r="A22" s="20"/>
      <c r="B22" s="20"/>
      <c r="C22" s="20"/>
      <c r="D22" s="29"/>
      <c r="E22" s="20"/>
      <c r="F22" s="20"/>
      <c r="G22" s="20"/>
      <c r="H2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" s="21">
        <v>12000</v>
      </c>
      <c r="J2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2" s="6"/>
    </row>
    <row r="23" spans="1:12 16382:16382" x14ac:dyDescent="0.3">
      <c r="A23" s="37">
        <v>45895</v>
      </c>
      <c r="B23" s="20">
        <v>318</v>
      </c>
      <c r="C23" s="20" t="s">
        <v>107</v>
      </c>
      <c r="D23" s="29" t="s">
        <v>80</v>
      </c>
      <c r="E23" s="20" t="s">
        <v>55</v>
      </c>
      <c r="F23" s="20">
        <v>2</v>
      </c>
      <c r="G23" s="20">
        <v>2998</v>
      </c>
      <c r="H2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2</v>
      </c>
      <c r="I23" s="21">
        <v>6000</v>
      </c>
      <c r="J2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3" s="6"/>
    </row>
    <row r="24" spans="1:12 16382:16382" x14ac:dyDescent="0.3">
      <c r="A24" s="20"/>
      <c r="B24" s="20"/>
      <c r="C24" s="20"/>
      <c r="D24" s="29"/>
      <c r="E24" s="20"/>
      <c r="F24" s="20"/>
      <c r="G24" s="20"/>
      <c r="H2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" s="21"/>
      <c r="J2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4" s="6"/>
    </row>
    <row r="25" spans="1:12 16382:16382" x14ac:dyDescent="0.3">
      <c r="A25" s="20"/>
      <c r="B25" s="20"/>
      <c r="C25" s="20"/>
      <c r="D25" s="29"/>
      <c r="E25" s="20"/>
      <c r="F25" s="20"/>
      <c r="G25" s="20"/>
      <c r="H2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" s="21"/>
      <c r="J2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5" s="6"/>
    </row>
    <row r="26" spans="1:12 16382:16382" x14ac:dyDescent="0.3">
      <c r="A26" s="20"/>
      <c r="B26" s="20"/>
      <c r="C26" s="20"/>
      <c r="D26" s="29"/>
      <c r="E26" s="20"/>
      <c r="F26" s="20"/>
      <c r="G26" s="20"/>
      <c r="H2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" s="21"/>
      <c r="J2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6" s="6"/>
    </row>
    <row r="27" spans="1:12 16382:16382" x14ac:dyDescent="0.3">
      <c r="A27" s="20"/>
      <c r="B27" s="20"/>
      <c r="C27" s="20"/>
      <c r="D27" s="29"/>
      <c r="E27" s="20"/>
      <c r="F27" s="20"/>
      <c r="G27" s="20"/>
      <c r="H2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" s="21"/>
      <c r="J2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7" s="6"/>
    </row>
    <row r="28" spans="1:12 16382:16382" x14ac:dyDescent="0.3">
      <c r="A28" s="20"/>
      <c r="B28" s="20"/>
      <c r="C28" s="20"/>
      <c r="D28" s="29"/>
      <c r="E28" s="20"/>
      <c r="F28" s="20"/>
      <c r="G28" s="20"/>
      <c r="H2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" s="21"/>
      <c r="J2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8" s="6"/>
    </row>
    <row r="29" spans="1:12 16382:16382" x14ac:dyDescent="0.3">
      <c r="A29" s="20"/>
      <c r="B29" s="20"/>
      <c r="C29" s="20"/>
      <c r="D29" s="29"/>
      <c r="E29" s="20"/>
      <c r="F29" s="20"/>
      <c r="G29" s="20"/>
      <c r="H2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" s="21"/>
      <c r="J2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29" s="6"/>
    </row>
    <row r="30" spans="1:12 16382:16382" x14ac:dyDescent="0.3">
      <c r="A30" s="20"/>
      <c r="B30" s="20"/>
      <c r="C30" s="20"/>
      <c r="D30" s="29"/>
      <c r="E30" s="20"/>
      <c r="F30" s="20"/>
      <c r="G30" s="20"/>
      <c r="H3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" s="21"/>
      <c r="J3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0" s="6"/>
    </row>
    <row r="31" spans="1:12 16382:16382" x14ac:dyDescent="0.3">
      <c r="A31" s="20"/>
      <c r="B31" s="20"/>
      <c r="C31" s="20"/>
      <c r="D31" s="29"/>
      <c r="E31" s="20"/>
      <c r="F31" s="20"/>
      <c r="G31" s="20"/>
      <c r="H3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" s="21"/>
      <c r="J3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1" s="6"/>
    </row>
    <row r="32" spans="1:12 16382:16382" x14ac:dyDescent="0.3">
      <c r="A32" s="20"/>
      <c r="B32" s="20"/>
      <c r="C32" s="20"/>
      <c r="D32" s="29"/>
      <c r="E32" s="20"/>
      <c r="F32" s="20"/>
      <c r="G32" s="20"/>
      <c r="H3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" s="21">
        <v>12000</v>
      </c>
      <c r="J3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2" s="6"/>
    </row>
    <row r="33" spans="1:12 16382:16383" x14ac:dyDescent="0.3">
      <c r="A33" s="20"/>
      <c r="B33" s="20"/>
      <c r="C33" s="20"/>
      <c r="D33" s="29"/>
      <c r="E33" s="20"/>
      <c r="F33" s="20"/>
      <c r="G33" s="20"/>
      <c r="H3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" s="21"/>
      <c r="J3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3" s="6"/>
    </row>
    <row r="34" spans="1:12 16382:16383" x14ac:dyDescent="0.3">
      <c r="A34" s="20"/>
      <c r="B34" s="20"/>
      <c r="C34" s="20"/>
      <c r="D34" s="29"/>
      <c r="E34" s="20"/>
      <c r="F34" s="20"/>
      <c r="G34" s="20"/>
      <c r="H3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" s="21"/>
      <c r="J3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4" s="6"/>
    </row>
    <row r="35" spans="1:12 16382:16383" x14ac:dyDescent="0.3">
      <c r="A35" s="20"/>
      <c r="B35" s="20"/>
      <c r="C35" s="20"/>
      <c r="D35" s="29"/>
      <c r="E35" s="20"/>
      <c r="F35" s="20"/>
      <c r="G35" s="20"/>
      <c r="H3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" s="21"/>
      <c r="J3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5" s="6"/>
    </row>
    <row r="36" spans="1:12 16382:16383" x14ac:dyDescent="0.3">
      <c r="A36" s="20"/>
      <c r="B36" s="20"/>
      <c r="C36" s="20"/>
      <c r="D36" s="29"/>
      <c r="E36" s="20"/>
      <c r="F36" s="20"/>
      <c r="G36" s="20"/>
      <c r="H3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" s="21"/>
      <c r="J3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6" s="6"/>
    </row>
    <row r="37" spans="1:12 16382:16383" x14ac:dyDescent="0.3">
      <c r="A37" s="20"/>
      <c r="B37" s="20"/>
      <c r="C37" s="20"/>
      <c r="D37" s="29"/>
      <c r="E37" s="20"/>
      <c r="F37" s="20"/>
      <c r="G37" s="20"/>
      <c r="H3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" s="21"/>
      <c r="J3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7" s="6"/>
    </row>
    <row r="38" spans="1:12 16382:16383" x14ac:dyDescent="0.3">
      <c r="A38" s="20"/>
      <c r="B38" s="20"/>
      <c r="C38" s="20"/>
      <c r="D38" s="29"/>
      <c r="E38" s="20"/>
      <c r="F38" s="20"/>
      <c r="G38" s="20"/>
      <c r="H3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" s="21">
        <v>6000</v>
      </c>
      <c r="J3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8" s="6"/>
    </row>
    <row r="39" spans="1:12 16382:16383" x14ac:dyDescent="0.3">
      <c r="A39" s="20"/>
      <c r="B39" s="20"/>
      <c r="C39" s="20"/>
      <c r="D39" s="29"/>
      <c r="E39" s="20"/>
      <c r="F39" s="20"/>
      <c r="G39" s="20"/>
      <c r="H3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" s="21"/>
      <c r="J3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39" s="6"/>
    </row>
    <row r="40" spans="1:12 16382:16383" x14ac:dyDescent="0.3">
      <c r="A40" s="20"/>
      <c r="B40" s="20"/>
      <c r="C40" s="20"/>
      <c r="D40" s="29"/>
      <c r="E40" s="20"/>
      <c r="F40" s="20"/>
      <c r="G40" s="20"/>
      <c r="H4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" s="21"/>
      <c r="J4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0" s="6"/>
    </row>
    <row r="41" spans="1:12 16382:16383" x14ac:dyDescent="0.3">
      <c r="A41" s="20"/>
      <c r="B41" s="20"/>
      <c r="C41" s="20"/>
      <c r="D41" s="29"/>
      <c r="E41" s="20"/>
      <c r="F41" s="20"/>
      <c r="G41" s="20"/>
      <c r="H4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" s="21"/>
      <c r="J4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1" s="6"/>
    </row>
    <row r="42" spans="1:12 16382:16383" x14ac:dyDescent="0.3">
      <c r="A42" s="20"/>
      <c r="B42" s="20"/>
      <c r="C42" s="20"/>
      <c r="D42" s="29"/>
      <c r="E42" s="20"/>
      <c r="F42" s="20"/>
      <c r="G42" s="20"/>
      <c r="H4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" s="21"/>
      <c r="J4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2" s="6"/>
    </row>
    <row r="43" spans="1:12 16382:16383" x14ac:dyDescent="0.3">
      <c r="A43" s="20"/>
      <c r="B43" s="20"/>
      <c r="C43" s="20"/>
      <c r="D43" s="29"/>
      <c r="E43" s="20"/>
      <c r="F43" s="20"/>
      <c r="G43" s="20"/>
      <c r="H4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" s="21"/>
      <c r="J4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3" s="6"/>
    </row>
    <row r="44" spans="1:12 16382:16383" x14ac:dyDescent="0.3">
      <c r="A44" s="20"/>
      <c r="B44" s="20"/>
      <c r="C44" s="20"/>
      <c r="D44" s="29"/>
      <c r="E44" s="20"/>
      <c r="F44" s="20"/>
      <c r="G44" s="20"/>
      <c r="H4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" s="21"/>
      <c r="J4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4" s="6"/>
      <c r="XFC44" s="6"/>
    </row>
    <row r="45" spans="1:12 16382:16383" x14ac:dyDescent="0.3">
      <c r="A45" s="20"/>
      <c r="B45" s="20"/>
      <c r="C45" s="20"/>
      <c r="D45" s="29"/>
      <c r="E45" s="20"/>
      <c r="F45" s="20"/>
      <c r="G45" s="20"/>
      <c r="H4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" s="21"/>
      <c r="J4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5" s="6"/>
      <c r="XFC45" s="6"/>
    </row>
    <row r="46" spans="1:12 16382:16383" x14ac:dyDescent="0.3">
      <c r="A46" s="20"/>
      <c r="B46" s="20"/>
      <c r="C46" s="20"/>
      <c r="D46" s="29"/>
      <c r="E46" s="20"/>
      <c r="F46" s="20"/>
      <c r="G46" s="20"/>
      <c r="H4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" s="21"/>
      <c r="J4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6" s="6"/>
      <c r="XFC46" s="6"/>
    </row>
    <row r="47" spans="1:12 16382:16383" x14ac:dyDescent="0.3">
      <c r="A47" s="20"/>
      <c r="B47" s="20"/>
      <c r="C47" s="20"/>
      <c r="D47" s="29"/>
      <c r="E47" s="20"/>
      <c r="F47" s="20"/>
      <c r="G47" s="20"/>
      <c r="H4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" s="21"/>
      <c r="J4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7" s="6"/>
      <c r="XFC47" s="6"/>
    </row>
    <row r="48" spans="1:12 16382:16383" x14ac:dyDescent="0.3">
      <c r="A48" s="20"/>
      <c r="B48" s="20"/>
      <c r="C48" s="20"/>
      <c r="D48" s="29"/>
      <c r="E48" s="20"/>
      <c r="F48" s="20"/>
      <c r="G48" s="20"/>
      <c r="H4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" s="21"/>
      <c r="J4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8" s="6"/>
      <c r="XFC48" s="6"/>
    </row>
    <row r="49" spans="1:12 16382:16383" x14ac:dyDescent="0.3">
      <c r="A49" s="20"/>
      <c r="B49" s="20"/>
      <c r="C49" s="20"/>
      <c r="D49" s="29"/>
      <c r="E49" s="20"/>
      <c r="F49" s="20"/>
      <c r="G49" s="20"/>
      <c r="H4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" s="21"/>
      <c r="J4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49" s="6"/>
      <c r="XFC49" s="6"/>
    </row>
    <row r="50" spans="1:12 16382:16383" x14ac:dyDescent="0.3">
      <c r="A50" s="20"/>
      <c r="B50" s="20"/>
      <c r="C50" s="20"/>
      <c r="D50" s="29"/>
      <c r="E50" s="20"/>
      <c r="F50" s="20"/>
      <c r="G50" s="20"/>
      <c r="H5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" s="21"/>
      <c r="J5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0" s="6"/>
      <c r="XFC50" s="6"/>
    </row>
    <row r="51" spans="1:12 16382:16383" x14ac:dyDescent="0.3">
      <c r="A51" s="20"/>
      <c r="B51" s="20"/>
      <c r="C51" s="20"/>
      <c r="D51" s="29"/>
      <c r="E51" s="20"/>
      <c r="F51" s="20"/>
      <c r="G51" s="20"/>
      <c r="H5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" s="21"/>
      <c r="J5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1" s="6"/>
      <c r="XFC51" s="6"/>
    </row>
    <row r="52" spans="1:12 16382:16383" x14ac:dyDescent="0.3">
      <c r="A52" s="20"/>
      <c r="B52" s="20"/>
      <c r="C52" s="20"/>
      <c r="D52" s="29"/>
      <c r="E52" s="20"/>
      <c r="F52" s="20"/>
      <c r="G52" s="20"/>
      <c r="H5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" s="21"/>
      <c r="J5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2" s="6"/>
      <c r="XFC52" s="6"/>
    </row>
    <row r="53" spans="1:12 16382:16383" x14ac:dyDescent="0.3">
      <c r="A53" s="20"/>
      <c r="B53" s="20"/>
      <c r="C53" s="20"/>
      <c r="D53" s="29"/>
      <c r="E53" s="20"/>
      <c r="F53" s="20"/>
      <c r="G53" s="20"/>
      <c r="H5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" s="21"/>
      <c r="J5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3" s="6"/>
      <c r="XFC53" s="6"/>
    </row>
    <row r="54" spans="1:12 16382:16383" x14ac:dyDescent="0.3">
      <c r="A54" s="20"/>
      <c r="B54" s="20"/>
      <c r="C54" s="20"/>
      <c r="D54" s="29"/>
      <c r="E54" s="20"/>
      <c r="F54" s="20"/>
      <c r="G54" s="20"/>
      <c r="H5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" s="21"/>
      <c r="J5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4" s="6"/>
      <c r="XFC54" s="6"/>
    </row>
    <row r="55" spans="1:12 16382:16383" x14ac:dyDescent="0.3">
      <c r="A55" s="20"/>
      <c r="B55" s="20"/>
      <c r="C55" s="20"/>
      <c r="D55" s="29"/>
      <c r="E55" s="20"/>
      <c r="F55" s="20"/>
      <c r="G55" s="20"/>
      <c r="H5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" s="21"/>
      <c r="J5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5" s="6"/>
      <c r="XFC55" s="6"/>
    </row>
    <row r="56" spans="1:12 16382:16383" x14ac:dyDescent="0.3">
      <c r="A56" s="20"/>
      <c r="B56" s="20"/>
      <c r="C56" s="20"/>
      <c r="D56" s="29"/>
      <c r="E56" s="20"/>
      <c r="F56" s="20"/>
      <c r="G56" s="20"/>
      <c r="H5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" s="21"/>
      <c r="J5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6" s="6"/>
      <c r="XFC56" s="6"/>
    </row>
    <row r="57" spans="1:12 16382:16383" x14ac:dyDescent="0.3">
      <c r="A57" s="20"/>
      <c r="B57" s="20"/>
      <c r="C57" s="20"/>
      <c r="D57" s="29"/>
      <c r="E57" s="20"/>
      <c r="F57" s="20"/>
      <c r="G57" s="20"/>
      <c r="H5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" s="21"/>
      <c r="J5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7" s="6"/>
      <c r="XFC57" s="6"/>
    </row>
    <row r="58" spans="1:12 16382:16383" x14ac:dyDescent="0.3">
      <c r="A58" s="20"/>
      <c r="B58" s="20"/>
      <c r="C58" s="20"/>
      <c r="D58" s="29"/>
      <c r="E58" s="20"/>
      <c r="F58" s="20"/>
      <c r="G58" s="20"/>
      <c r="H5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" s="21"/>
      <c r="J5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8" s="6"/>
      <c r="XFC58" s="6"/>
    </row>
    <row r="59" spans="1:12 16382:16383" x14ac:dyDescent="0.3">
      <c r="A59" s="20"/>
      <c r="B59" s="20"/>
      <c r="C59" s="20"/>
      <c r="D59" s="29"/>
      <c r="E59" s="20"/>
      <c r="F59" s="20"/>
      <c r="G59" s="20"/>
      <c r="H5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" s="21"/>
      <c r="J5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59" s="6"/>
      <c r="XFC59" s="6"/>
    </row>
    <row r="60" spans="1:12 16382:16383" x14ac:dyDescent="0.3">
      <c r="A60" s="20"/>
      <c r="B60" s="20"/>
      <c r="C60" s="20"/>
      <c r="D60" s="29"/>
      <c r="E60" s="20"/>
      <c r="F60" s="20"/>
      <c r="G60" s="20"/>
      <c r="H6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" s="21"/>
      <c r="J6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60" s="6"/>
      <c r="XFC60" s="6"/>
    </row>
    <row r="61" spans="1:12 16382:16383" x14ac:dyDescent="0.3">
      <c r="A61" s="20"/>
      <c r="B61" s="20"/>
      <c r="C61" s="20"/>
      <c r="D61" s="29"/>
      <c r="E61" s="20"/>
      <c r="F61" s="20"/>
      <c r="G61" s="20"/>
      <c r="H6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" s="21"/>
      <c r="J6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61" s="6"/>
      <c r="XFC61" s="6"/>
    </row>
    <row r="62" spans="1:12 16382:16383" x14ac:dyDescent="0.3">
      <c r="A62" s="20"/>
      <c r="B62" s="20"/>
      <c r="C62" s="20"/>
      <c r="D62" s="29"/>
      <c r="E62" s="20"/>
      <c r="F62" s="20"/>
      <c r="G62" s="20"/>
      <c r="H6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" s="21"/>
      <c r="J6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62" s="6"/>
      <c r="XFC62" s="6"/>
    </row>
    <row r="63" spans="1:12 16382:16383" x14ac:dyDescent="0.3">
      <c r="A63" s="20"/>
      <c r="B63" s="20"/>
      <c r="C63" s="20"/>
      <c r="D63" s="29"/>
      <c r="E63" s="20"/>
      <c r="F63" s="20"/>
      <c r="G63" s="20"/>
      <c r="H6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" s="21"/>
      <c r="J6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63" s="6"/>
      <c r="XFC63" s="6"/>
    </row>
    <row r="64" spans="1:12 16382:16383" x14ac:dyDescent="0.3">
      <c r="A64" s="20"/>
      <c r="B64" s="20"/>
      <c r="C64" s="20"/>
      <c r="D64" s="29"/>
      <c r="E64" s="20"/>
      <c r="F64" s="20"/>
      <c r="G64" s="20"/>
      <c r="H6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" s="21"/>
      <c r="J6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  <c r="XFB64" s="6"/>
      <c r="XFC64" s="6"/>
    </row>
    <row r="65" spans="1:12" x14ac:dyDescent="0.3">
      <c r="A65" s="20"/>
      <c r="B65" s="20"/>
      <c r="C65" s="20"/>
      <c r="D65" s="29"/>
      <c r="E65" s="20"/>
      <c r="F65" s="20"/>
      <c r="G65" s="20"/>
      <c r="H6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" s="21"/>
      <c r="J6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" spans="1:12" x14ac:dyDescent="0.3">
      <c r="A66" s="20"/>
      <c r="B66" s="20"/>
      <c r="C66" s="20"/>
      <c r="D66" s="29"/>
      <c r="E66" s="20"/>
      <c r="F66" s="20"/>
      <c r="G66" s="20"/>
      <c r="H6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" s="21"/>
      <c r="J6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" spans="1:12" x14ac:dyDescent="0.3">
      <c r="A67" s="20"/>
      <c r="B67" s="20"/>
      <c r="C67" s="20"/>
      <c r="D67" s="29"/>
      <c r="E67" s="20"/>
      <c r="F67" s="20"/>
      <c r="G67" s="20"/>
      <c r="H6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" s="21"/>
      <c r="J6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" spans="1:12" x14ac:dyDescent="0.3">
      <c r="A68" s="20"/>
      <c r="B68" s="20"/>
      <c r="C68" s="20"/>
      <c r="D68" s="29"/>
      <c r="E68" s="20"/>
      <c r="F68" s="20"/>
      <c r="G68" s="20"/>
      <c r="H6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" s="21"/>
      <c r="J6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" spans="1:12" x14ac:dyDescent="0.3">
      <c r="A69" s="20"/>
      <c r="B69" s="20"/>
      <c r="C69" s="20"/>
      <c r="D69" s="29"/>
      <c r="E69" s="20"/>
      <c r="F69" s="20"/>
      <c r="G69" s="20"/>
      <c r="H6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" s="21"/>
      <c r="J6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" spans="1:12" x14ac:dyDescent="0.3">
      <c r="A70" s="20"/>
      <c r="B70" s="20"/>
      <c r="C70" s="20"/>
      <c r="D70" s="29"/>
      <c r="E70" s="20"/>
      <c r="F70" s="20"/>
      <c r="G70" s="20"/>
      <c r="H7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" s="21"/>
      <c r="J7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" spans="1:12" x14ac:dyDescent="0.3">
      <c r="A71" s="20"/>
      <c r="B71" s="20"/>
      <c r="C71" s="20"/>
      <c r="D71" s="29"/>
      <c r="E71" s="20"/>
      <c r="F71" s="20"/>
      <c r="G71" s="20"/>
      <c r="H7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" s="21"/>
      <c r="J7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" spans="1:12" x14ac:dyDescent="0.3">
      <c r="A72" s="20"/>
      <c r="B72" s="20"/>
      <c r="C72" s="20"/>
      <c r="D72" s="29"/>
      <c r="E72" s="20"/>
      <c r="F72" s="20"/>
      <c r="G72" s="20"/>
      <c r="H7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" s="21"/>
      <c r="J7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" spans="1:12" x14ac:dyDescent="0.3">
      <c r="A73" s="20"/>
      <c r="B73" s="20"/>
      <c r="C73" s="20"/>
      <c r="D73" s="29"/>
      <c r="E73" s="20"/>
      <c r="F73" s="20"/>
      <c r="G73" s="20"/>
      <c r="H7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" s="21"/>
      <c r="J7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" spans="1:12" x14ac:dyDescent="0.3">
      <c r="A74" s="20"/>
      <c r="B74" s="20"/>
      <c r="C74" s="20"/>
      <c r="D74" s="29"/>
      <c r="E74" s="20"/>
      <c r="F74" s="20"/>
      <c r="G74" s="20"/>
      <c r="H7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" s="21"/>
      <c r="J7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" spans="1:12" x14ac:dyDescent="0.3">
      <c r="A75" s="20"/>
      <c r="B75" s="20"/>
      <c r="C75" s="20"/>
      <c r="D75" s="29"/>
      <c r="E75" s="20"/>
      <c r="F75" s="20"/>
      <c r="G75" s="20"/>
      <c r="H7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" s="21">
        <v>12000</v>
      </c>
      <c r="J7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" spans="1:12" x14ac:dyDescent="0.3">
      <c r="A76" s="20"/>
      <c r="B76" s="20"/>
      <c r="C76" s="20"/>
      <c r="D76" s="29"/>
      <c r="E76" s="20"/>
      <c r="F76" s="20"/>
      <c r="G76" s="20"/>
      <c r="H7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" s="21"/>
      <c r="J7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" spans="1:12" x14ac:dyDescent="0.3">
      <c r="A77" s="20"/>
      <c r="B77" s="20"/>
      <c r="C77" s="20"/>
      <c r="D77" s="29"/>
      <c r="E77" s="20"/>
      <c r="F77" s="20"/>
      <c r="G77" s="20"/>
      <c r="H7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" s="21"/>
      <c r="J7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" spans="1:12" x14ac:dyDescent="0.3">
      <c r="A78" s="20"/>
      <c r="B78" s="20"/>
      <c r="C78" s="20"/>
      <c r="D78" s="29"/>
      <c r="E78" s="20"/>
      <c r="F78" s="20"/>
      <c r="G78" s="20"/>
      <c r="H7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" s="21"/>
      <c r="J7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" spans="1:12" x14ac:dyDescent="0.3">
      <c r="A79" s="20"/>
      <c r="B79" s="20"/>
      <c r="C79" s="20"/>
      <c r="D79" s="29"/>
      <c r="E79" s="20"/>
      <c r="F79" s="20"/>
      <c r="G79" s="20"/>
      <c r="H7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" s="21"/>
      <c r="J7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" spans="1:12" x14ac:dyDescent="0.3">
      <c r="A80" s="20"/>
      <c r="B80" s="20"/>
      <c r="C80" s="20"/>
      <c r="D80" s="29"/>
      <c r="E80" s="20"/>
      <c r="F80" s="20"/>
      <c r="G80" s="20"/>
      <c r="H8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" s="21"/>
      <c r="J8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" spans="1:12" x14ac:dyDescent="0.3">
      <c r="A81" s="20"/>
      <c r="B81" s="20"/>
      <c r="C81" s="20"/>
      <c r="D81" s="29"/>
      <c r="E81" s="20"/>
      <c r="F81" s="20"/>
      <c r="G81" s="20"/>
      <c r="H8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" s="21"/>
      <c r="J8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" spans="1:12" x14ac:dyDescent="0.3">
      <c r="A82" s="20"/>
      <c r="B82" s="20"/>
      <c r="C82" s="20"/>
      <c r="D82" s="29"/>
      <c r="E82" s="20"/>
      <c r="F82" s="20"/>
      <c r="G82" s="20"/>
      <c r="H8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" s="21"/>
      <c r="J8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" spans="1:12" x14ac:dyDescent="0.3">
      <c r="A83" s="20"/>
      <c r="B83" s="20"/>
      <c r="C83" s="20"/>
      <c r="D83" s="29"/>
      <c r="E83" s="20"/>
      <c r="F83" s="20"/>
      <c r="G83" s="20"/>
      <c r="H8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" s="21"/>
      <c r="J8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" spans="1:12" x14ac:dyDescent="0.3">
      <c r="A84" s="20"/>
      <c r="B84" s="20"/>
      <c r="C84" s="20"/>
      <c r="D84" s="29"/>
      <c r="E84" s="20"/>
      <c r="F84" s="20"/>
      <c r="G84" s="20"/>
      <c r="H8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" s="21"/>
      <c r="J8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" spans="1:12" x14ac:dyDescent="0.3">
      <c r="A85" s="20"/>
      <c r="B85" s="20"/>
      <c r="C85" s="20"/>
      <c r="D85" s="29"/>
      <c r="E85" s="20"/>
      <c r="F85" s="20"/>
      <c r="G85" s="20"/>
      <c r="H8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" s="21"/>
      <c r="J8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" spans="1:12" x14ac:dyDescent="0.3">
      <c r="A86" s="20"/>
      <c r="B86" s="20"/>
      <c r="C86" s="20"/>
      <c r="D86" s="29"/>
      <c r="E86" s="20"/>
      <c r="F86" s="20"/>
      <c r="G86" s="20"/>
      <c r="H8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" s="21"/>
      <c r="J8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" spans="1:12" x14ac:dyDescent="0.3">
      <c r="A87" s="20"/>
      <c r="B87" s="20"/>
      <c r="C87" s="20"/>
      <c r="D87" s="29"/>
      <c r="E87" s="20"/>
      <c r="F87" s="20"/>
      <c r="G87" s="20"/>
      <c r="H8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" s="21"/>
      <c r="J8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" spans="1:12" x14ac:dyDescent="0.3">
      <c r="A88" s="20"/>
      <c r="B88" s="20"/>
      <c r="C88" s="20"/>
      <c r="D88" s="29"/>
      <c r="E88" s="20"/>
      <c r="F88" s="20"/>
      <c r="G88" s="20"/>
      <c r="H8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" s="21"/>
      <c r="J8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9" spans="1:12" x14ac:dyDescent="0.3">
      <c r="A89" s="20"/>
      <c r="B89" s="20"/>
      <c r="C89" s="20"/>
      <c r="D89" s="29"/>
      <c r="E89" s="20"/>
      <c r="F89" s="20"/>
      <c r="G89" s="20"/>
      <c r="H8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9" s="21"/>
      <c r="J8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0" spans="1:12" x14ac:dyDescent="0.3">
      <c r="A90" s="20"/>
      <c r="B90" s="20"/>
      <c r="C90" s="20"/>
      <c r="D90" s="29"/>
      <c r="E90" s="20"/>
      <c r="F90" s="20"/>
      <c r="G90" s="20"/>
      <c r="H9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0" s="21"/>
      <c r="J9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1" spans="1:12" x14ac:dyDescent="0.3">
      <c r="A91" s="20"/>
      <c r="B91" s="20"/>
      <c r="C91" s="20"/>
      <c r="D91" s="29"/>
      <c r="E91" s="20"/>
      <c r="F91" s="20"/>
      <c r="G91" s="20"/>
      <c r="H9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1" s="21"/>
      <c r="J9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2" spans="1:12" x14ac:dyDescent="0.3">
      <c r="A92" s="20"/>
      <c r="B92" s="20"/>
      <c r="C92" s="20"/>
      <c r="D92" s="29"/>
      <c r="E92" s="20"/>
      <c r="F92" s="20"/>
      <c r="G92" s="20"/>
      <c r="H9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2" s="21"/>
      <c r="J9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3" spans="1:12" x14ac:dyDescent="0.3">
      <c r="A93" s="20"/>
      <c r="B93" s="20"/>
      <c r="C93" s="20"/>
      <c r="D93" s="29"/>
      <c r="E93" s="20"/>
      <c r="F93" s="20"/>
      <c r="G93" s="20"/>
      <c r="H9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3" s="21"/>
      <c r="J9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4" spans="1:12" x14ac:dyDescent="0.3">
      <c r="A94" s="20"/>
      <c r="B94" s="20"/>
      <c r="C94" s="20"/>
      <c r="D94" s="29"/>
      <c r="E94" s="20"/>
      <c r="F94" s="20"/>
      <c r="G94" s="20"/>
      <c r="H9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4" s="21"/>
      <c r="J9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5" spans="1:12" x14ac:dyDescent="0.3">
      <c r="A95" s="20"/>
      <c r="B95" s="20"/>
      <c r="C95" s="20"/>
      <c r="D95" s="29"/>
      <c r="E95" s="20"/>
      <c r="F95" s="20"/>
      <c r="G95" s="20"/>
      <c r="H9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5" s="21"/>
      <c r="J9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6" spans="1:12" x14ac:dyDescent="0.3">
      <c r="A96" s="20"/>
      <c r="B96" s="20"/>
      <c r="C96" s="20"/>
      <c r="D96" s="29"/>
      <c r="E96" s="20"/>
      <c r="F96" s="20"/>
      <c r="G96" s="20"/>
      <c r="H9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6" s="21"/>
      <c r="J9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7" spans="1:12" x14ac:dyDescent="0.3">
      <c r="A97" s="20"/>
      <c r="B97" s="20"/>
      <c r="C97" s="20"/>
      <c r="D97" s="29"/>
      <c r="E97" s="20"/>
      <c r="F97" s="20"/>
      <c r="G97" s="20"/>
      <c r="H9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7" s="21"/>
      <c r="J9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8" spans="1:12" x14ac:dyDescent="0.3">
      <c r="A98" s="20"/>
      <c r="B98" s="20"/>
      <c r="C98" s="20"/>
      <c r="D98" s="29"/>
      <c r="E98" s="20"/>
      <c r="F98" s="20"/>
      <c r="G98" s="20"/>
      <c r="H9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8" s="21"/>
      <c r="J9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99" spans="1:12" x14ac:dyDescent="0.3">
      <c r="A99" s="20"/>
      <c r="B99" s="20"/>
      <c r="C99" s="20"/>
      <c r="D99" s="29"/>
      <c r="E99" s="20"/>
      <c r="F99" s="20"/>
      <c r="G99" s="20"/>
      <c r="H9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99" s="21"/>
      <c r="J9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9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9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0" spans="1:12" x14ac:dyDescent="0.3">
      <c r="A100" s="20"/>
      <c r="B100" s="20"/>
      <c r="C100" s="20"/>
      <c r="D100" s="29"/>
      <c r="E100" s="20"/>
      <c r="F100" s="20"/>
      <c r="G100" s="20"/>
      <c r="H10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0" s="21"/>
      <c r="J10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1" spans="1:12" x14ac:dyDescent="0.3">
      <c r="A101" s="20"/>
      <c r="B101" s="20"/>
      <c r="C101" s="20"/>
      <c r="D101" s="29"/>
      <c r="E101" s="20"/>
      <c r="F101" s="20"/>
      <c r="G101" s="20"/>
      <c r="H10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1" s="21"/>
      <c r="J10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2" spans="1:12" x14ac:dyDescent="0.3">
      <c r="A102" s="20"/>
      <c r="B102" s="20"/>
      <c r="C102" s="20"/>
      <c r="D102" s="29"/>
      <c r="E102" s="20"/>
      <c r="F102" s="20"/>
      <c r="G102" s="20"/>
      <c r="H10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2" s="21"/>
      <c r="J10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3" spans="1:12" x14ac:dyDescent="0.3">
      <c r="A103" s="20"/>
      <c r="B103" s="20"/>
      <c r="C103" s="20"/>
      <c r="D103" s="29"/>
      <c r="E103" s="20"/>
      <c r="F103" s="20"/>
      <c r="G103" s="20"/>
      <c r="H10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3" s="21"/>
      <c r="J10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4" spans="1:12" x14ac:dyDescent="0.3">
      <c r="A104" s="20"/>
      <c r="B104" s="20"/>
      <c r="C104" s="20"/>
      <c r="D104" s="29"/>
      <c r="E104" s="20"/>
      <c r="F104" s="20"/>
      <c r="G104" s="20"/>
      <c r="H10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4" s="21"/>
      <c r="J10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5" spans="1:12" x14ac:dyDescent="0.3">
      <c r="A105" s="20"/>
      <c r="B105" s="20"/>
      <c r="C105" s="20"/>
      <c r="D105" s="29"/>
      <c r="E105" s="20"/>
      <c r="F105" s="20"/>
      <c r="G105" s="20"/>
      <c r="H10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5" s="21"/>
      <c r="J10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6" spans="1:12" x14ac:dyDescent="0.3">
      <c r="A106" s="20"/>
      <c r="B106" s="20"/>
      <c r="C106" s="20"/>
      <c r="D106" s="29"/>
      <c r="E106" s="20"/>
      <c r="F106" s="20"/>
      <c r="G106" s="20"/>
      <c r="H10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6" s="21"/>
      <c r="J10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7" spans="1:12" x14ac:dyDescent="0.3">
      <c r="A107" s="20"/>
      <c r="B107" s="20"/>
      <c r="C107" s="20"/>
      <c r="D107" s="29"/>
      <c r="E107" s="20"/>
      <c r="F107" s="20"/>
      <c r="G107" s="20"/>
      <c r="H10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7" s="21"/>
      <c r="J10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8" spans="1:12" x14ac:dyDescent="0.3">
      <c r="A108" s="20"/>
      <c r="B108" s="20"/>
      <c r="C108" s="20"/>
      <c r="D108" s="29"/>
      <c r="E108" s="20"/>
      <c r="F108" s="20"/>
      <c r="G108" s="20"/>
      <c r="H10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8" s="21"/>
      <c r="J10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09" spans="1:12" x14ac:dyDescent="0.3">
      <c r="A109" s="20"/>
      <c r="B109" s="20"/>
      <c r="C109" s="20"/>
      <c r="D109" s="29"/>
      <c r="E109" s="20"/>
      <c r="F109" s="20"/>
      <c r="G109" s="20"/>
      <c r="H10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09" s="21"/>
      <c r="J10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0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0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0" spans="1:12" x14ac:dyDescent="0.3">
      <c r="A110" s="20"/>
      <c r="B110" s="20"/>
      <c r="C110" s="20"/>
      <c r="D110" s="29"/>
      <c r="E110" s="20"/>
      <c r="F110" s="20"/>
      <c r="G110" s="20"/>
      <c r="H11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0" s="21"/>
      <c r="J11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1" spans="1:12" x14ac:dyDescent="0.3">
      <c r="A111" s="20"/>
      <c r="B111" s="20"/>
      <c r="C111" s="20"/>
      <c r="D111" s="29"/>
      <c r="E111" s="20"/>
      <c r="F111" s="20"/>
      <c r="G111" s="20"/>
      <c r="H11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1" s="21"/>
      <c r="J11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2" spans="1:12" x14ac:dyDescent="0.3">
      <c r="A112" s="20"/>
      <c r="B112" s="20"/>
      <c r="C112" s="20"/>
      <c r="D112" s="29"/>
      <c r="E112" s="20"/>
      <c r="F112" s="20"/>
      <c r="G112" s="20"/>
      <c r="H11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2" s="21"/>
      <c r="J11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3" spans="1:12" x14ac:dyDescent="0.3">
      <c r="A113" s="20"/>
      <c r="B113" s="20"/>
      <c r="C113" s="20"/>
      <c r="D113" s="29"/>
      <c r="E113" s="20"/>
      <c r="F113" s="20"/>
      <c r="G113" s="20"/>
      <c r="H11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3" s="21"/>
      <c r="J11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4" spans="1:12" x14ac:dyDescent="0.3">
      <c r="A114" s="20"/>
      <c r="B114" s="20"/>
      <c r="C114" s="20"/>
      <c r="D114" s="29"/>
      <c r="E114" s="20"/>
      <c r="F114" s="20"/>
      <c r="G114" s="20"/>
      <c r="H11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4" s="21"/>
      <c r="J11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5" spans="1:12" x14ac:dyDescent="0.3">
      <c r="A115" s="20"/>
      <c r="B115" s="20"/>
      <c r="C115" s="20"/>
      <c r="D115" s="29"/>
      <c r="E115" s="20"/>
      <c r="F115" s="20"/>
      <c r="G115" s="20"/>
      <c r="H11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5" s="21"/>
      <c r="J11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6" spans="1:12" x14ac:dyDescent="0.3">
      <c r="A116" s="20"/>
      <c r="B116" s="20"/>
      <c r="C116" s="20"/>
      <c r="D116" s="29"/>
      <c r="E116" s="20"/>
      <c r="F116" s="20"/>
      <c r="G116" s="20"/>
      <c r="H11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6" s="21"/>
      <c r="J11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7" spans="1:12" x14ac:dyDescent="0.3">
      <c r="A117" s="20"/>
      <c r="B117" s="20"/>
      <c r="C117" s="20"/>
      <c r="D117" s="29"/>
      <c r="E117" s="20"/>
      <c r="F117" s="20"/>
      <c r="G117" s="20"/>
      <c r="H11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7" s="21"/>
      <c r="J11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8" spans="1:12" x14ac:dyDescent="0.3">
      <c r="A118" s="20"/>
      <c r="B118" s="20"/>
      <c r="C118" s="20"/>
      <c r="D118" s="29"/>
      <c r="E118" s="20"/>
      <c r="F118" s="20"/>
      <c r="G118" s="20"/>
      <c r="H11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8" s="21"/>
      <c r="J11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19" spans="1:12" x14ac:dyDescent="0.3">
      <c r="A119" s="20"/>
      <c r="B119" s="20"/>
      <c r="C119" s="20"/>
      <c r="D119" s="29"/>
      <c r="E119" s="20"/>
      <c r="F119" s="20"/>
      <c r="G119" s="20"/>
      <c r="H11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19" s="21"/>
      <c r="J11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1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1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0" spans="1:12" x14ac:dyDescent="0.3">
      <c r="A120" s="20"/>
      <c r="B120" s="20"/>
      <c r="C120" s="20"/>
      <c r="D120" s="29"/>
      <c r="E120" s="20"/>
      <c r="F120" s="20"/>
      <c r="G120" s="20"/>
      <c r="H12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0" s="21"/>
      <c r="J12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1" spans="1:12" x14ac:dyDescent="0.3">
      <c r="A121" s="20"/>
      <c r="B121" s="20"/>
      <c r="C121" s="20"/>
      <c r="D121" s="29"/>
      <c r="E121" s="20"/>
      <c r="F121" s="20"/>
      <c r="G121" s="20"/>
      <c r="H12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1" s="21"/>
      <c r="J12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2" spans="1:12" x14ac:dyDescent="0.3">
      <c r="A122" s="20"/>
      <c r="B122" s="20"/>
      <c r="C122" s="20"/>
      <c r="D122" s="29"/>
      <c r="E122" s="20"/>
      <c r="F122" s="20"/>
      <c r="G122" s="20"/>
      <c r="H12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2" s="21"/>
      <c r="J12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3" spans="1:12" x14ac:dyDescent="0.3">
      <c r="A123" s="20"/>
      <c r="B123" s="20"/>
      <c r="C123" s="20"/>
      <c r="D123" s="29"/>
      <c r="E123" s="20"/>
      <c r="F123" s="20"/>
      <c r="G123" s="20"/>
      <c r="H12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3" s="21"/>
      <c r="J12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4" spans="1:12" x14ac:dyDescent="0.3">
      <c r="A124" s="37"/>
      <c r="B124" s="20"/>
      <c r="C124" s="20"/>
      <c r="D124" s="29"/>
      <c r="E124" s="20"/>
      <c r="F124" s="20"/>
      <c r="G124" s="20"/>
      <c r="H12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4" s="21">
        <v>12000</v>
      </c>
      <c r="J12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5" spans="1:12" x14ac:dyDescent="0.3">
      <c r="A125" s="20"/>
      <c r="B125" s="20"/>
      <c r="C125" s="20"/>
      <c r="D125" s="29"/>
      <c r="E125" s="20"/>
      <c r="F125" s="20"/>
      <c r="G125" s="20"/>
      <c r="H12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5" s="21"/>
      <c r="J12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6" spans="1:12" x14ac:dyDescent="0.3">
      <c r="A126" s="20"/>
      <c r="B126" s="20"/>
      <c r="C126" s="20"/>
      <c r="D126" s="29"/>
      <c r="E126" s="20"/>
      <c r="F126" s="20"/>
      <c r="G126" s="20"/>
      <c r="H12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6" s="21"/>
      <c r="J12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7" spans="1:12" x14ac:dyDescent="0.3">
      <c r="A127" s="20"/>
      <c r="B127" s="20"/>
      <c r="C127" s="20"/>
      <c r="D127" s="29"/>
      <c r="E127" s="20"/>
      <c r="F127" s="20"/>
      <c r="G127" s="20"/>
      <c r="H12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7" s="21"/>
      <c r="J12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8" spans="1:12" x14ac:dyDescent="0.3">
      <c r="A128" s="20"/>
      <c r="B128" s="20"/>
      <c r="C128" s="20"/>
      <c r="D128" s="29"/>
      <c r="E128" s="20"/>
      <c r="F128" s="20"/>
      <c r="G128" s="20"/>
      <c r="H12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8" s="21"/>
      <c r="J12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29" spans="1:12" x14ac:dyDescent="0.3">
      <c r="A129" s="20"/>
      <c r="B129" s="20"/>
      <c r="C129" s="20"/>
      <c r="D129" s="29"/>
      <c r="E129" s="20"/>
      <c r="F129" s="20"/>
      <c r="G129" s="20"/>
      <c r="H12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29" s="21"/>
      <c r="J12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2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2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0" spans="1:12" x14ac:dyDescent="0.3">
      <c r="A130" s="20"/>
      <c r="B130" s="20"/>
      <c r="C130" s="20"/>
      <c r="D130" s="29"/>
      <c r="E130" s="20"/>
      <c r="F130" s="20"/>
      <c r="G130" s="20"/>
      <c r="H13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0" s="21"/>
      <c r="J13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1" spans="1:12" x14ac:dyDescent="0.3">
      <c r="A131" s="20"/>
      <c r="B131" s="20"/>
      <c r="C131" s="20"/>
      <c r="D131" s="29"/>
      <c r="E131" s="20"/>
      <c r="F131" s="20"/>
      <c r="G131" s="20"/>
      <c r="H13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1" s="21"/>
      <c r="J13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2" spans="1:12" x14ac:dyDescent="0.3">
      <c r="A132" s="20"/>
      <c r="B132" s="20"/>
      <c r="C132" s="20"/>
      <c r="D132" s="29"/>
      <c r="E132" s="20"/>
      <c r="F132" s="20"/>
      <c r="G132" s="20"/>
      <c r="H13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2" s="21"/>
      <c r="J13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3" spans="1:12" x14ac:dyDescent="0.3">
      <c r="A133" s="20"/>
      <c r="B133" s="20"/>
      <c r="C133" s="20"/>
      <c r="D133" s="29"/>
      <c r="E133" s="20"/>
      <c r="F133" s="20"/>
      <c r="G133" s="20"/>
      <c r="H13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3" s="21"/>
      <c r="J13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4" spans="1:12" x14ac:dyDescent="0.3">
      <c r="A134" s="20"/>
      <c r="B134" s="20"/>
      <c r="C134" s="20"/>
      <c r="D134" s="29"/>
      <c r="E134" s="20"/>
      <c r="F134" s="20"/>
      <c r="G134" s="20"/>
      <c r="H13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4" s="21"/>
      <c r="J13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5" spans="1:12" x14ac:dyDescent="0.3">
      <c r="A135" s="20"/>
      <c r="B135" s="20"/>
      <c r="C135" s="20"/>
      <c r="D135" s="29"/>
      <c r="E135" s="20"/>
      <c r="F135" s="20"/>
      <c r="G135" s="20"/>
      <c r="H13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5" s="21"/>
      <c r="J13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6" spans="1:12" x14ac:dyDescent="0.3">
      <c r="A136" s="20"/>
      <c r="B136" s="20"/>
      <c r="C136" s="20"/>
      <c r="D136" s="29"/>
      <c r="E136" s="20"/>
      <c r="F136" s="20"/>
      <c r="G136" s="20"/>
      <c r="H13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6" s="21"/>
      <c r="J13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7" spans="1:12" x14ac:dyDescent="0.3">
      <c r="A137" s="20"/>
      <c r="B137" s="20"/>
      <c r="C137" s="20"/>
      <c r="D137" s="29"/>
      <c r="E137" s="20"/>
      <c r="F137" s="20"/>
      <c r="G137" s="20"/>
      <c r="H13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7" s="21"/>
      <c r="J13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8" spans="1:12" x14ac:dyDescent="0.3">
      <c r="A138" s="20"/>
      <c r="B138" s="20"/>
      <c r="C138" s="20"/>
      <c r="D138" s="29"/>
      <c r="E138" s="20"/>
      <c r="F138" s="20"/>
      <c r="G138" s="20"/>
      <c r="H13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8" s="21"/>
      <c r="J13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39" spans="1:12" x14ac:dyDescent="0.3">
      <c r="A139" s="20"/>
      <c r="B139" s="20"/>
      <c r="C139" s="20"/>
      <c r="D139" s="29"/>
      <c r="E139" s="20"/>
      <c r="F139" s="20"/>
      <c r="G139" s="20"/>
      <c r="H13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39" s="21"/>
      <c r="J13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3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3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0" spans="1:12" x14ac:dyDescent="0.3">
      <c r="A140" s="20"/>
      <c r="B140" s="20"/>
      <c r="C140" s="20"/>
      <c r="D140" s="29"/>
      <c r="E140" s="20"/>
      <c r="F140" s="20"/>
      <c r="G140" s="20"/>
      <c r="H14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0" s="21"/>
      <c r="J14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1" spans="1:12" x14ac:dyDescent="0.3">
      <c r="A141" s="20"/>
      <c r="B141" s="20"/>
      <c r="C141" s="20"/>
      <c r="D141" s="29"/>
      <c r="E141" s="20"/>
      <c r="F141" s="20"/>
      <c r="G141" s="20"/>
      <c r="H14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1" s="21"/>
      <c r="J14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2" spans="1:12" x14ac:dyDescent="0.3">
      <c r="A142" s="20"/>
      <c r="B142" s="20"/>
      <c r="C142" s="20"/>
      <c r="D142" s="29"/>
      <c r="E142" s="20"/>
      <c r="F142" s="20"/>
      <c r="G142" s="20"/>
      <c r="H14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2" s="21"/>
      <c r="J14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3" spans="1:12" x14ac:dyDescent="0.3">
      <c r="A143" s="20"/>
      <c r="B143" s="20"/>
      <c r="C143" s="20"/>
      <c r="D143" s="29"/>
      <c r="E143" s="20"/>
      <c r="F143" s="20"/>
      <c r="G143" s="20"/>
      <c r="H14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3" s="21"/>
      <c r="J14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4" spans="1:12" x14ac:dyDescent="0.3">
      <c r="A144" s="20"/>
      <c r="B144" s="20"/>
      <c r="C144" s="20"/>
      <c r="D144" s="29"/>
      <c r="E144" s="20"/>
      <c r="F144" s="20"/>
      <c r="G144" s="20"/>
      <c r="H14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4" s="21"/>
      <c r="J14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5" spans="1:12" x14ac:dyDescent="0.3">
      <c r="A145" s="20"/>
      <c r="B145" s="20"/>
      <c r="C145" s="20"/>
      <c r="D145" s="29"/>
      <c r="E145" s="20"/>
      <c r="F145" s="20"/>
      <c r="G145" s="20"/>
      <c r="H14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5" s="21"/>
      <c r="J14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6" spans="1:12" x14ac:dyDescent="0.3">
      <c r="A146" s="20"/>
      <c r="B146" s="20"/>
      <c r="C146" s="20"/>
      <c r="D146" s="29"/>
      <c r="E146" s="20"/>
      <c r="F146" s="20"/>
      <c r="G146" s="20"/>
      <c r="H14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6" s="21"/>
      <c r="J14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7" spans="1:12" x14ac:dyDescent="0.3">
      <c r="A147" s="20"/>
      <c r="B147" s="20"/>
      <c r="C147" s="20"/>
      <c r="D147" s="29"/>
      <c r="E147" s="20"/>
      <c r="F147" s="20"/>
      <c r="G147" s="20"/>
      <c r="H14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7" s="21"/>
      <c r="J14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8" spans="1:12" x14ac:dyDescent="0.3">
      <c r="A148" s="20"/>
      <c r="B148" s="20"/>
      <c r="C148" s="20"/>
      <c r="D148" s="29"/>
      <c r="E148" s="20"/>
      <c r="F148" s="20"/>
      <c r="G148" s="20"/>
      <c r="H14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8" s="21"/>
      <c r="J14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49" spans="1:12" x14ac:dyDescent="0.3">
      <c r="A149" s="20"/>
      <c r="B149" s="20"/>
      <c r="C149" s="20"/>
      <c r="D149" s="29"/>
      <c r="E149" s="20"/>
      <c r="F149" s="20"/>
      <c r="G149" s="20"/>
      <c r="H14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49" s="21"/>
      <c r="J14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4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4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0" spans="1:12" x14ac:dyDescent="0.3">
      <c r="A150" s="20"/>
      <c r="B150" s="20"/>
      <c r="C150" s="20"/>
      <c r="D150" s="29"/>
      <c r="E150" s="20"/>
      <c r="F150" s="20"/>
      <c r="G150" s="20"/>
      <c r="H15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0" s="21"/>
      <c r="J15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1" spans="1:12" x14ac:dyDescent="0.3">
      <c r="A151" s="20"/>
      <c r="B151" s="20"/>
      <c r="C151" s="20"/>
      <c r="D151" s="29"/>
      <c r="E151" s="20"/>
      <c r="F151" s="20"/>
      <c r="G151" s="20"/>
      <c r="H15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1" s="21"/>
      <c r="J15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2" spans="1:12" x14ac:dyDescent="0.3">
      <c r="A152" s="20"/>
      <c r="B152" s="20"/>
      <c r="C152" s="20"/>
      <c r="D152" s="29"/>
      <c r="E152" s="20"/>
      <c r="F152" s="20"/>
      <c r="G152" s="20"/>
      <c r="H15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2" s="21"/>
      <c r="J15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3" spans="1:12" x14ac:dyDescent="0.3">
      <c r="A153" s="20"/>
      <c r="B153" s="20"/>
      <c r="C153" s="20"/>
      <c r="D153" s="29"/>
      <c r="E153" s="20"/>
      <c r="F153" s="20"/>
      <c r="G153" s="20"/>
      <c r="H15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3" s="21"/>
      <c r="J15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4" spans="1:12" x14ac:dyDescent="0.3">
      <c r="A154" s="20"/>
      <c r="B154" s="20"/>
      <c r="C154" s="20"/>
      <c r="D154" s="29"/>
      <c r="E154" s="20"/>
      <c r="F154" s="20"/>
      <c r="G154" s="20"/>
      <c r="H15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4" s="21"/>
      <c r="J15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5" spans="1:12" x14ac:dyDescent="0.3">
      <c r="A155" s="20"/>
      <c r="B155" s="20"/>
      <c r="C155" s="20"/>
      <c r="D155" s="29"/>
      <c r="E155" s="20"/>
      <c r="F155" s="20"/>
      <c r="G155" s="20"/>
      <c r="H15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5" s="21"/>
      <c r="J15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6" spans="1:12" x14ac:dyDescent="0.3">
      <c r="A156" s="20"/>
      <c r="B156" s="20"/>
      <c r="C156" s="20"/>
      <c r="D156" s="29"/>
      <c r="E156" s="20"/>
      <c r="F156" s="20"/>
      <c r="G156" s="20"/>
      <c r="H15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6" s="21"/>
      <c r="J15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7" spans="1:12" x14ac:dyDescent="0.3">
      <c r="A157" s="20"/>
      <c r="B157" s="20"/>
      <c r="C157" s="20"/>
      <c r="D157" s="29"/>
      <c r="E157" s="20"/>
      <c r="F157" s="20"/>
      <c r="G157" s="20"/>
      <c r="H15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7" s="21"/>
      <c r="J15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8" spans="1:12" x14ac:dyDescent="0.3">
      <c r="A158" s="20"/>
      <c r="B158" s="20"/>
      <c r="C158" s="20"/>
      <c r="D158" s="29"/>
      <c r="E158" s="20"/>
      <c r="F158" s="20"/>
      <c r="G158" s="20"/>
      <c r="H15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8" s="21"/>
      <c r="J15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59" spans="1:12" x14ac:dyDescent="0.3">
      <c r="A159" s="20"/>
      <c r="B159" s="20"/>
      <c r="C159" s="20"/>
      <c r="D159" s="29"/>
      <c r="E159" s="20"/>
      <c r="F159" s="20"/>
      <c r="G159" s="20"/>
      <c r="H15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59" s="21"/>
      <c r="J15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5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5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0" spans="1:12" x14ac:dyDescent="0.3">
      <c r="A160" s="20"/>
      <c r="B160" s="20"/>
      <c r="C160" s="20"/>
      <c r="D160" s="29"/>
      <c r="E160" s="20"/>
      <c r="F160" s="20"/>
      <c r="G160" s="20"/>
      <c r="H16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0" s="21"/>
      <c r="J16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1" spans="1:12" x14ac:dyDescent="0.3">
      <c r="A161" s="20"/>
      <c r="B161" s="20"/>
      <c r="C161" s="20"/>
      <c r="D161" s="29"/>
      <c r="E161" s="20"/>
      <c r="F161" s="20"/>
      <c r="G161" s="20"/>
      <c r="H16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1" s="21"/>
      <c r="J16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2" spans="1:12" x14ac:dyDescent="0.3">
      <c r="A162" s="20"/>
      <c r="B162" s="20"/>
      <c r="C162" s="20"/>
      <c r="D162" s="29"/>
      <c r="E162" s="20"/>
      <c r="F162" s="20"/>
      <c r="G162" s="20"/>
      <c r="H16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2" s="21"/>
      <c r="J16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3" spans="1:12" x14ac:dyDescent="0.3">
      <c r="A163" s="20"/>
      <c r="B163" s="20"/>
      <c r="C163" s="20"/>
      <c r="D163" s="29"/>
      <c r="E163" s="20"/>
      <c r="F163" s="20"/>
      <c r="G163" s="20"/>
      <c r="H16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3" s="21"/>
      <c r="J16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4" spans="1:12" x14ac:dyDescent="0.3">
      <c r="A164" s="20"/>
      <c r="B164" s="20"/>
      <c r="C164" s="20"/>
      <c r="D164" s="29"/>
      <c r="E164" s="20"/>
      <c r="F164" s="20"/>
      <c r="G164" s="20"/>
      <c r="H16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4" s="21"/>
      <c r="J16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5" spans="1:12" x14ac:dyDescent="0.3">
      <c r="A165" s="20"/>
      <c r="B165" s="20"/>
      <c r="C165" s="20"/>
      <c r="D165" s="29"/>
      <c r="E165" s="20"/>
      <c r="F165" s="20"/>
      <c r="G165" s="20"/>
      <c r="H16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5" s="21"/>
      <c r="J16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6" spans="1:12" x14ac:dyDescent="0.3">
      <c r="A166" s="20"/>
      <c r="B166" s="20"/>
      <c r="C166" s="20"/>
      <c r="D166" s="29"/>
      <c r="E166" s="20"/>
      <c r="F166" s="20"/>
      <c r="G166" s="20"/>
      <c r="H16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6" s="21"/>
      <c r="J16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7" spans="1:12" x14ac:dyDescent="0.3">
      <c r="A167" s="20"/>
      <c r="B167" s="20"/>
      <c r="C167" s="20"/>
      <c r="D167" s="29"/>
      <c r="E167" s="20"/>
      <c r="F167" s="20"/>
      <c r="G167" s="20"/>
      <c r="H16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7" s="21"/>
      <c r="J16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8" spans="1:12" x14ac:dyDescent="0.3">
      <c r="A168" s="20"/>
      <c r="B168" s="20"/>
      <c r="C168" s="20"/>
      <c r="D168" s="29"/>
      <c r="E168" s="20"/>
      <c r="F168" s="20"/>
      <c r="G168" s="20"/>
      <c r="H16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8" s="21"/>
      <c r="J16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69" spans="1:12" x14ac:dyDescent="0.3">
      <c r="A169" s="20"/>
      <c r="B169" s="20"/>
      <c r="C169" s="20"/>
      <c r="D169" s="29"/>
      <c r="E169" s="20"/>
      <c r="F169" s="20"/>
      <c r="G169" s="20"/>
      <c r="H16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69" s="21"/>
      <c r="J16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6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6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0" spans="1:12" x14ac:dyDescent="0.3">
      <c r="A170" s="20"/>
      <c r="B170" s="20"/>
      <c r="C170" s="20"/>
      <c r="D170" s="29"/>
      <c r="E170" s="20"/>
      <c r="F170" s="20"/>
      <c r="G170" s="20"/>
      <c r="H17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0" s="21"/>
      <c r="J17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1" spans="1:12" x14ac:dyDescent="0.3">
      <c r="A171" s="20"/>
      <c r="B171" s="20"/>
      <c r="C171" s="20"/>
      <c r="D171" s="29"/>
      <c r="E171" s="20"/>
      <c r="F171" s="20"/>
      <c r="G171" s="20"/>
      <c r="H17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1" s="21"/>
      <c r="J17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2" spans="1:12" x14ac:dyDescent="0.3">
      <c r="A172" s="20"/>
      <c r="B172" s="20"/>
      <c r="C172" s="20"/>
      <c r="D172" s="29"/>
      <c r="E172" s="20"/>
      <c r="F172" s="20"/>
      <c r="G172" s="20"/>
      <c r="H17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2" s="21"/>
      <c r="J17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3" spans="1:12" x14ac:dyDescent="0.3">
      <c r="A173" s="20"/>
      <c r="B173" s="20"/>
      <c r="C173" s="20"/>
      <c r="D173" s="29"/>
      <c r="E173" s="20"/>
      <c r="F173" s="20"/>
      <c r="G173" s="20"/>
      <c r="H17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3" s="21"/>
      <c r="J17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4" spans="1:12" x14ac:dyDescent="0.3">
      <c r="A174" s="20"/>
      <c r="B174" s="20"/>
      <c r="C174" s="20"/>
      <c r="D174" s="29"/>
      <c r="E174" s="20"/>
      <c r="F174" s="20"/>
      <c r="G174" s="20"/>
      <c r="H17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4" s="21"/>
      <c r="J17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5" spans="1:12" x14ac:dyDescent="0.3">
      <c r="A175" s="20"/>
      <c r="B175" s="20"/>
      <c r="C175" s="20"/>
      <c r="D175" s="29"/>
      <c r="E175" s="20"/>
      <c r="F175" s="20"/>
      <c r="G175" s="20"/>
      <c r="H17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5" s="21"/>
      <c r="J17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6" spans="1:12" x14ac:dyDescent="0.3">
      <c r="A176" s="20"/>
      <c r="B176" s="20"/>
      <c r="C176" s="20"/>
      <c r="D176" s="29"/>
      <c r="E176" s="20"/>
      <c r="F176" s="20"/>
      <c r="G176" s="20"/>
      <c r="H17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6" s="21"/>
      <c r="J17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7" spans="1:12" x14ac:dyDescent="0.3">
      <c r="A177" s="20"/>
      <c r="B177" s="20"/>
      <c r="C177" s="20"/>
      <c r="D177" s="29"/>
      <c r="E177" s="20"/>
      <c r="F177" s="20"/>
      <c r="G177" s="20"/>
      <c r="H17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7" s="21"/>
      <c r="J17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8" spans="1:12" x14ac:dyDescent="0.3">
      <c r="A178" s="20"/>
      <c r="B178" s="20"/>
      <c r="C178" s="20"/>
      <c r="D178" s="29"/>
      <c r="E178" s="20"/>
      <c r="F178" s="20"/>
      <c r="G178" s="20"/>
      <c r="H17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8" s="21"/>
      <c r="J17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79" spans="1:12" x14ac:dyDescent="0.3">
      <c r="A179" s="20"/>
      <c r="B179" s="20"/>
      <c r="C179" s="20"/>
      <c r="D179" s="29"/>
      <c r="E179" s="20"/>
      <c r="F179" s="20"/>
      <c r="G179" s="20"/>
      <c r="H17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79" s="21"/>
      <c r="J17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7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7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0" spans="1:12" x14ac:dyDescent="0.3">
      <c r="A180" s="20"/>
      <c r="B180" s="20"/>
      <c r="C180" s="20"/>
      <c r="D180" s="29"/>
      <c r="E180" s="20"/>
      <c r="F180" s="20"/>
      <c r="G180" s="20"/>
      <c r="H18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0" s="21"/>
      <c r="J18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1" spans="1:12" x14ac:dyDescent="0.3">
      <c r="A181" s="20"/>
      <c r="B181" s="20"/>
      <c r="C181" s="20"/>
      <c r="D181" s="29"/>
      <c r="E181" s="20"/>
      <c r="F181" s="20"/>
      <c r="G181" s="20"/>
      <c r="H18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1" s="21"/>
      <c r="J18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2" spans="1:12" x14ac:dyDescent="0.3">
      <c r="A182" s="20"/>
      <c r="B182" s="20"/>
      <c r="C182" s="20"/>
      <c r="D182" s="29"/>
      <c r="E182" s="20"/>
      <c r="F182" s="20"/>
      <c r="G182" s="20"/>
      <c r="H18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2" s="21"/>
      <c r="J18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3" spans="1:12" x14ac:dyDescent="0.3">
      <c r="A183" s="20"/>
      <c r="B183" s="20"/>
      <c r="C183" s="20"/>
      <c r="D183" s="29"/>
      <c r="E183" s="20"/>
      <c r="F183" s="20"/>
      <c r="G183" s="20"/>
      <c r="H18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3" s="21"/>
      <c r="J18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4" spans="1:12" x14ac:dyDescent="0.3">
      <c r="A184" s="20"/>
      <c r="B184" s="20"/>
      <c r="C184" s="20"/>
      <c r="D184" s="29"/>
      <c r="E184" s="20"/>
      <c r="F184" s="20"/>
      <c r="G184" s="20"/>
      <c r="H18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4" s="21"/>
      <c r="J18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5" spans="1:12" x14ac:dyDescent="0.3">
      <c r="A185" s="20"/>
      <c r="B185" s="20"/>
      <c r="C185" s="20"/>
      <c r="D185" s="29"/>
      <c r="E185" s="20"/>
      <c r="F185" s="20"/>
      <c r="G185" s="20"/>
      <c r="H18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5" s="21"/>
      <c r="J18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6" spans="1:12" x14ac:dyDescent="0.3">
      <c r="A186" s="20"/>
      <c r="B186" s="20"/>
      <c r="C186" s="20"/>
      <c r="D186" s="29"/>
      <c r="E186" s="20"/>
      <c r="F186" s="20"/>
      <c r="G186" s="20"/>
      <c r="H18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6" s="21"/>
      <c r="J18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7" spans="1:12" x14ac:dyDescent="0.3">
      <c r="A187" s="20"/>
      <c r="B187" s="20"/>
      <c r="C187" s="20"/>
      <c r="D187" s="29"/>
      <c r="E187" s="20"/>
      <c r="F187" s="20"/>
      <c r="G187" s="20"/>
      <c r="H18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7" s="21"/>
      <c r="J18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8" spans="1:12" x14ac:dyDescent="0.3">
      <c r="A188" s="20"/>
      <c r="B188" s="20"/>
      <c r="C188" s="20"/>
      <c r="D188" s="29"/>
      <c r="E188" s="20"/>
      <c r="F188" s="20"/>
      <c r="G188" s="20"/>
      <c r="H18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8" s="21"/>
      <c r="J18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89" spans="1:12" x14ac:dyDescent="0.3">
      <c r="A189" s="20"/>
      <c r="B189" s="20"/>
      <c r="C189" s="20"/>
      <c r="D189" s="29"/>
      <c r="E189" s="20"/>
      <c r="F189" s="20"/>
      <c r="G189" s="20"/>
      <c r="H18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89" s="21"/>
      <c r="J18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8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8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0" spans="1:12" x14ac:dyDescent="0.3">
      <c r="A190" s="20"/>
      <c r="B190" s="20"/>
      <c r="C190" s="20"/>
      <c r="D190" s="29"/>
      <c r="E190" s="20"/>
      <c r="F190" s="20"/>
      <c r="G190" s="20"/>
      <c r="H19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0" s="21"/>
      <c r="J19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1" spans="1:12" x14ac:dyDescent="0.3">
      <c r="A191" s="20"/>
      <c r="B191" s="20"/>
      <c r="C191" s="20"/>
      <c r="D191" s="29"/>
      <c r="E191" s="20"/>
      <c r="F191" s="20"/>
      <c r="G191" s="20"/>
      <c r="H19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1" s="21"/>
      <c r="J19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2" spans="1:12" x14ac:dyDescent="0.3">
      <c r="A192" s="20"/>
      <c r="B192" s="20"/>
      <c r="C192" s="20"/>
      <c r="D192" s="29"/>
      <c r="E192" s="20"/>
      <c r="F192" s="20"/>
      <c r="G192" s="20"/>
      <c r="H19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2" s="21">
        <v>6000</v>
      </c>
      <c r="J19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3" spans="1:12" x14ac:dyDescent="0.3">
      <c r="A193" s="20"/>
      <c r="B193" s="20"/>
      <c r="C193" s="20"/>
      <c r="D193" s="29"/>
      <c r="E193" s="20"/>
      <c r="F193" s="20"/>
      <c r="G193" s="20"/>
      <c r="H19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3" s="21"/>
      <c r="J19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4" spans="1:12" x14ac:dyDescent="0.3">
      <c r="A194" s="20"/>
      <c r="B194" s="20"/>
      <c r="C194" s="20"/>
      <c r="D194" s="29"/>
      <c r="E194" s="20"/>
      <c r="F194" s="20"/>
      <c r="G194" s="20"/>
      <c r="H19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4" s="21"/>
      <c r="J19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5" spans="1:12" x14ac:dyDescent="0.3">
      <c r="A195" s="20"/>
      <c r="B195" s="20"/>
      <c r="C195" s="20"/>
      <c r="D195" s="29"/>
      <c r="E195" s="20"/>
      <c r="F195" s="20"/>
      <c r="G195" s="20"/>
      <c r="H19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5" s="21"/>
      <c r="J19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6" spans="1:12" x14ac:dyDescent="0.3">
      <c r="A196" s="20"/>
      <c r="B196" s="20"/>
      <c r="C196" s="20"/>
      <c r="D196" s="29"/>
      <c r="E196" s="20"/>
      <c r="F196" s="20"/>
      <c r="G196" s="20"/>
      <c r="H19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6" s="21"/>
      <c r="J19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7" spans="1:12" x14ac:dyDescent="0.3">
      <c r="A197" s="20"/>
      <c r="B197" s="20"/>
      <c r="C197" s="20"/>
      <c r="D197" s="29"/>
      <c r="E197" s="20"/>
      <c r="F197" s="20"/>
      <c r="G197" s="20"/>
      <c r="H19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7" s="21"/>
      <c r="J19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8" spans="1:12" x14ac:dyDescent="0.3">
      <c r="A198" s="20"/>
      <c r="B198" s="20"/>
      <c r="C198" s="20"/>
      <c r="D198" s="29"/>
      <c r="E198" s="20"/>
      <c r="F198" s="20"/>
      <c r="G198" s="20"/>
      <c r="H19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8" s="21"/>
      <c r="J19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199" spans="1:12" x14ac:dyDescent="0.3">
      <c r="A199" s="20"/>
      <c r="B199" s="20"/>
      <c r="C199" s="20"/>
      <c r="D199" s="29"/>
      <c r="E199" s="20"/>
      <c r="F199" s="20"/>
      <c r="G199" s="20"/>
      <c r="H19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199" s="21"/>
      <c r="J19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19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19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0" spans="1:12" x14ac:dyDescent="0.3">
      <c r="A200" s="20"/>
      <c r="B200" s="20"/>
      <c r="C200" s="20"/>
      <c r="D200" s="29"/>
      <c r="E200" s="20"/>
      <c r="F200" s="20"/>
      <c r="G200" s="20"/>
      <c r="H20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0" s="21"/>
      <c r="J20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1" spans="1:12" x14ac:dyDescent="0.3">
      <c r="A201" s="20"/>
      <c r="B201" s="20"/>
      <c r="C201" s="20"/>
      <c r="D201" s="29"/>
      <c r="E201" s="20"/>
      <c r="F201" s="20"/>
      <c r="G201" s="20"/>
      <c r="H20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1" s="21"/>
      <c r="J20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2" spans="1:12" x14ac:dyDescent="0.3">
      <c r="A202" s="20"/>
      <c r="B202" s="20"/>
      <c r="C202" s="20"/>
      <c r="D202" s="29"/>
      <c r="E202" s="20"/>
      <c r="F202" s="20"/>
      <c r="G202" s="20"/>
      <c r="H20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2" s="21"/>
      <c r="J20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3" spans="1:12" x14ac:dyDescent="0.3">
      <c r="A203" s="20"/>
      <c r="B203" s="20"/>
      <c r="C203" s="20"/>
      <c r="D203" s="29"/>
      <c r="E203" s="20"/>
      <c r="F203" s="20"/>
      <c r="G203" s="20"/>
      <c r="H20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3" s="21"/>
      <c r="J20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4" spans="1:12" x14ac:dyDescent="0.3">
      <c r="A204" s="20"/>
      <c r="B204" s="20"/>
      <c r="C204" s="20"/>
      <c r="D204" s="29"/>
      <c r="E204" s="20"/>
      <c r="F204" s="20"/>
      <c r="G204" s="20"/>
      <c r="H20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4" s="21"/>
      <c r="J20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5" spans="1:12" x14ac:dyDescent="0.3">
      <c r="A205" s="20"/>
      <c r="B205" s="20"/>
      <c r="C205" s="20"/>
      <c r="D205" s="29"/>
      <c r="E205" s="20"/>
      <c r="F205" s="20"/>
      <c r="G205" s="20"/>
      <c r="H20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5" s="21"/>
      <c r="J20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6" spans="1:12" x14ac:dyDescent="0.3">
      <c r="A206" s="20"/>
      <c r="B206" s="20"/>
      <c r="C206" s="20"/>
      <c r="D206" s="29"/>
      <c r="E206" s="20"/>
      <c r="F206" s="20"/>
      <c r="G206" s="20"/>
      <c r="H20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6" s="21"/>
      <c r="J20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7" spans="1:12" x14ac:dyDescent="0.3">
      <c r="A207" s="20"/>
      <c r="B207" s="20"/>
      <c r="C207" s="20"/>
      <c r="D207" s="29"/>
      <c r="E207" s="20"/>
      <c r="F207" s="20"/>
      <c r="G207" s="20"/>
      <c r="H20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7" s="21"/>
      <c r="J20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8" spans="1:12" x14ac:dyDescent="0.3">
      <c r="A208" s="20"/>
      <c r="B208" s="20"/>
      <c r="C208" s="20"/>
      <c r="D208" s="29"/>
      <c r="E208" s="20"/>
      <c r="F208" s="20"/>
      <c r="G208" s="20"/>
      <c r="H20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8" s="21"/>
      <c r="J20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09" spans="1:12" x14ac:dyDescent="0.3">
      <c r="A209" s="20"/>
      <c r="B209" s="20"/>
      <c r="C209" s="20"/>
      <c r="D209" s="29"/>
      <c r="E209" s="20"/>
      <c r="F209" s="20"/>
      <c r="G209" s="20"/>
      <c r="H20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09" s="21"/>
      <c r="J20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0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0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0" spans="1:12" x14ac:dyDescent="0.3">
      <c r="A210" s="20"/>
      <c r="B210" s="20"/>
      <c r="C210" s="20"/>
      <c r="D210" s="29"/>
      <c r="E210" s="20"/>
      <c r="F210" s="20"/>
      <c r="G210" s="20"/>
      <c r="H21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0" s="21"/>
      <c r="J21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1" spans="1:12" x14ac:dyDescent="0.3">
      <c r="A211" s="20"/>
      <c r="B211" s="20"/>
      <c r="C211" s="20"/>
      <c r="D211" s="29"/>
      <c r="E211" s="20"/>
      <c r="F211" s="20"/>
      <c r="G211" s="20"/>
      <c r="H21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1" s="21"/>
      <c r="J21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2" spans="1:12" x14ac:dyDescent="0.3">
      <c r="A212" s="20"/>
      <c r="B212" s="20"/>
      <c r="C212" s="20"/>
      <c r="D212" s="29"/>
      <c r="E212" s="20"/>
      <c r="F212" s="20"/>
      <c r="G212" s="20"/>
      <c r="H21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2" s="21"/>
      <c r="J21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3" spans="1:12" x14ac:dyDescent="0.3">
      <c r="A213" s="20"/>
      <c r="B213" s="20"/>
      <c r="C213" s="20"/>
      <c r="D213" s="29"/>
      <c r="E213" s="20"/>
      <c r="F213" s="20"/>
      <c r="G213" s="20"/>
      <c r="H21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3" s="21"/>
      <c r="J21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4" spans="1:12" x14ac:dyDescent="0.3">
      <c r="A214" s="20"/>
      <c r="B214" s="20"/>
      <c r="C214" s="20"/>
      <c r="D214" s="29"/>
      <c r="E214" s="20"/>
      <c r="F214" s="20"/>
      <c r="G214" s="20"/>
      <c r="H21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4" s="21"/>
      <c r="J21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5" spans="1:12" x14ac:dyDescent="0.3">
      <c r="A215" s="20"/>
      <c r="B215" s="20"/>
      <c r="C215" s="20"/>
      <c r="D215" s="29"/>
      <c r="E215" s="20"/>
      <c r="F215" s="20"/>
      <c r="G215" s="20"/>
      <c r="H21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5" s="21"/>
      <c r="J21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6" spans="1:12" x14ac:dyDescent="0.3">
      <c r="A216" s="20"/>
      <c r="B216" s="20"/>
      <c r="C216" s="20"/>
      <c r="D216" s="29"/>
      <c r="E216" s="20"/>
      <c r="F216" s="20"/>
      <c r="G216" s="20"/>
      <c r="H21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6" s="21"/>
      <c r="J21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7" spans="1:12" x14ac:dyDescent="0.3">
      <c r="A217" s="20"/>
      <c r="B217" s="20"/>
      <c r="C217" s="20"/>
      <c r="D217" s="29"/>
      <c r="E217" s="20"/>
      <c r="F217" s="20"/>
      <c r="G217" s="20"/>
      <c r="H21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7" s="21"/>
      <c r="J21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8" spans="1:12" x14ac:dyDescent="0.3">
      <c r="A218" s="20"/>
      <c r="B218" s="20"/>
      <c r="C218" s="20"/>
      <c r="D218" s="29"/>
      <c r="E218" s="20"/>
      <c r="F218" s="20"/>
      <c r="G218" s="20"/>
      <c r="H21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8" s="21"/>
      <c r="J21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19" spans="1:12" x14ac:dyDescent="0.3">
      <c r="A219" s="20"/>
      <c r="B219" s="20"/>
      <c r="C219" s="20"/>
      <c r="D219" s="29"/>
      <c r="E219" s="20"/>
      <c r="F219" s="20"/>
      <c r="G219" s="20"/>
      <c r="H21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19" s="21"/>
      <c r="J21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1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1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0" spans="1:12" x14ac:dyDescent="0.3">
      <c r="A220" s="20"/>
      <c r="B220" s="20"/>
      <c r="C220" s="20"/>
      <c r="D220" s="29"/>
      <c r="E220" s="20"/>
      <c r="F220" s="20"/>
      <c r="G220" s="20"/>
      <c r="H22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0" s="21"/>
      <c r="J22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1" spans="1:12" x14ac:dyDescent="0.3">
      <c r="A221" s="20"/>
      <c r="B221" s="20"/>
      <c r="C221" s="20"/>
      <c r="D221" s="29"/>
      <c r="E221" s="20"/>
      <c r="F221" s="20"/>
      <c r="G221" s="20"/>
      <c r="H22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1" s="21"/>
      <c r="J22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2" spans="1:12" x14ac:dyDescent="0.3">
      <c r="A222" s="20"/>
      <c r="B222" s="20"/>
      <c r="C222" s="20"/>
      <c r="D222" s="29"/>
      <c r="E222" s="20"/>
      <c r="F222" s="20"/>
      <c r="G222" s="20"/>
      <c r="H22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2" s="21"/>
      <c r="J22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3" spans="1:12" x14ac:dyDescent="0.3">
      <c r="A223" s="20"/>
      <c r="B223" s="20"/>
      <c r="C223" s="20"/>
      <c r="D223" s="29"/>
      <c r="E223" s="20"/>
      <c r="F223" s="20"/>
      <c r="G223" s="20"/>
      <c r="H22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3" s="21"/>
      <c r="J22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4" spans="1:12" x14ac:dyDescent="0.3">
      <c r="A224" s="20"/>
      <c r="B224" s="20"/>
      <c r="C224" s="20"/>
      <c r="D224" s="29"/>
      <c r="E224" s="20"/>
      <c r="F224" s="20"/>
      <c r="G224" s="20"/>
      <c r="H22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4" s="21"/>
      <c r="J22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5" spans="1:12" x14ac:dyDescent="0.3">
      <c r="A225" s="20"/>
      <c r="B225" s="20"/>
      <c r="C225" s="20"/>
      <c r="D225" s="29"/>
      <c r="E225" s="20"/>
      <c r="F225" s="20"/>
      <c r="G225" s="20"/>
      <c r="H22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5" s="21"/>
      <c r="J22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6" spans="1:12" x14ac:dyDescent="0.3">
      <c r="A226" s="20"/>
      <c r="B226" s="20"/>
      <c r="C226" s="20"/>
      <c r="D226" s="29"/>
      <c r="E226" s="20"/>
      <c r="F226" s="20"/>
      <c r="G226" s="20"/>
      <c r="H22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6" s="21"/>
      <c r="J22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7" spans="1:12" x14ac:dyDescent="0.3">
      <c r="A227" s="20"/>
      <c r="B227" s="20"/>
      <c r="C227" s="20"/>
      <c r="D227" s="29"/>
      <c r="E227" s="20"/>
      <c r="F227" s="20"/>
      <c r="G227" s="20"/>
      <c r="H22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7" s="21"/>
      <c r="J22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8" spans="1:12" x14ac:dyDescent="0.3">
      <c r="A228" s="20"/>
      <c r="B228" s="20"/>
      <c r="C228" s="20"/>
      <c r="D228" s="29"/>
      <c r="E228" s="20"/>
      <c r="F228" s="20"/>
      <c r="G228" s="20"/>
      <c r="H22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8" s="21"/>
      <c r="J22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29" spans="1:12" x14ac:dyDescent="0.3">
      <c r="A229" s="20"/>
      <c r="B229" s="20"/>
      <c r="C229" s="20"/>
      <c r="D229" s="29"/>
      <c r="E229" s="20"/>
      <c r="F229" s="20"/>
      <c r="G229" s="20"/>
      <c r="H22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29" s="21"/>
      <c r="J22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2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2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0" spans="1:12" x14ac:dyDescent="0.3">
      <c r="A230" s="20"/>
      <c r="B230" s="20"/>
      <c r="C230" s="20"/>
      <c r="D230" s="29"/>
      <c r="E230" s="20"/>
      <c r="F230" s="20"/>
      <c r="G230" s="20"/>
      <c r="H23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0" s="21"/>
      <c r="J23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1" spans="1:12" x14ac:dyDescent="0.3">
      <c r="A231" s="20"/>
      <c r="B231" s="20"/>
      <c r="C231" s="20"/>
      <c r="D231" s="29"/>
      <c r="E231" s="20"/>
      <c r="F231" s="20"/>
      <c r="G231" s="20"/>
      <c r="H23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1" s="21"/>
      <c r="J23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2" spans="1:12" x14ac:dyDescent="0.3">
      <c r="A232" s="20"/>
      <c r="B232" s="20"/>
      <c r="C232" s="20"/>
      <c r="D232" s="29"/>
      <c r="E232" s="20"/>
      <c r="F232" s="20"/>
      <c r="G232" s="20"/>
      <c r="H23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2" s="21"/>
      <c r="J23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3" spans="1:12" x14ac:dyDescent="0.3">
      <c r="A233" s="20"/>
      <c r="B233" s="20"/>
      <c r="C233" s="20"/>
      <c r="D233" s="29"/>
      <c r="E233" s="20"/>
      <c r="F233" s="20"/>
      <c r="G233" s="20"/>
      <c r="H23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3" s="21"/>
      <c r="J23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4" spans="1:12" x14ac:dyDescent="0.3">
      <c r="A234" s="20"/>
      <c r="B234" s="20"/>
      <c r="C234" s="20"/>
      <c r="D234" s="29"/>
      <c r="E234" s="20"/>
      <c r="F234" s="20"/>
      <c r="G234" s="20"/>
      <c r="H23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4" s="21"/>
      <c r="J23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5" spans="1:12" x14ac:dyDescent="0.3">
      <c r="A235" s="20"/>
      <c r="B235" s="20"/>
      <c r="C235" s="20"/>
      <c r="D235" s="29"/>
      <c r="E235" s="20"/>
      <c r="F235" s="20"/>
      <c r="G235" s="20"/>
      <c r="H23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5" s="21"/>
      <c r="J23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6" spans="1:12" x14ac:dyDescent="0.3">
      <c r="A236" s="20"/>
      <c r="B236" s="20"/>
      <c r="C236" s="20"/>
      <c r="D236" s="29"/>
      <c r="E236" s="20"/>
      <c r="F236" s="20"/>
      <c r="G236" s="20"/>
      <c r="H23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6" s="21"/>
      <c r="J23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7" spans="1:12" x14ac:dyDescent="0.3">
      <c r="A237" s="20"/>
      <c r="B237" s="20"/>
      <c r="C237" s="20"/>
      <c r="D237" s="29"/>
      <c r="E237" s="20"/>
      <c r="F237" s="20"/>
      <c r="G237" s="20"/>
      <c r="H23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7" s="21"/>
      <c r="J23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8" spans="1:12" x14ac:dyDescent="0.3">
      <c r="A238" s="20"/>
      <c r="B238" s="20"/>
      <c r="C238" s="20"/>
      <c r="D238" s="29"/>
      <c r="E238" s="20"/>
      <c r="F238" s="20"/>
      <c r="G238" s="20"/>
      <c r="H23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8" s="21"/>
      <c r="J23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39" spans="1:12" x14ac:dyDescent="0.3">
      <c r="A239" s="20"/>
      <c r="B239" s="20"/>
      <c r="C239" s="20"/>
      <c r="D239" s="29"/>
      <c r="E239" s="20"/>
      <c r="F239" s="20"/>
      <c r="G239" s="20"/>
      <c r="H23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39" s="21"/>
      <c r="J23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3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3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0" spans="1:12" x14ac:dyDescent="0.3">
      <c r="A240" s="20"/>
      <c r="B240" s="20"/>
      <c r="C240" s="20"/>
      <c r="D240" s="29"/>
      <c r="E240" s="20"/>
      <c r="F240" s="20"/>
      <c r="G240" s="20"/>
      <c r="H24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0" s="21"/>
      <c r="J24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1" spans="1:12" x14ac:dyDescent="0.3">
      <c r="A241" s="20"/>
      <c r="B241" s="20"/>
      <c r="C241" s="20"/>
      <c r="D241" s="29"/>
      <c r="E241" s="20"/>
      <c r="F241" s="20"/>
      <c r="G241" s="20"/>
      <c r="H24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1" s="21"/>
      <c r="J24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2" spans="1:12" x14ac:dyDescent="0.3">
      <c r="A242" s="20"/>
      <c r="B242" s="20"/>
      <c r="C242" s="20"/>
      <c r="D242" s="29"/>
      <c r="E242" s="20"/>
      <c r="F242" s="20"/>
      <c r="G242" s="20"/>
      <c r="H24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2" s="21"/>
      <c r="J24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3" spans="1:12" x14ac:dyDescent="0.3">
      <c r="A243" s="20"/>
      <c r="B243" s="20"/>
      <c r="C243" s="20"/>
      <c r="D243" s="29"/>
      <c r="E243" s="20"/>
      <c r="F243" s="20"/>
      <c r="G243" s="20"/>
      <c r="H24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3" s="21"/>
      <c r="J24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4" spans="1:12" x14ac:dyDescent="0.3">
      <c r="A244" s="20"/>
      <c r="B244" s="20"/>
      <c r="C244" s="20"/>
      <c r="D244" s="29"/>
      <c r="E244" s="20"/>
      <c r="F244" s="20"/>
      <c r="G244" s="20"/>
      <c r="H24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4" s="21"/>
      <c r="J24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5" spans="1:12" x14ac:dyDescent="0.3">
      <c r="A245" s="20"/>
      <c r="B245" s="20"/>
      <c r="C245" s="20"/>
      <c r="D245" s="29"/>
      <c r="E245" s="20"/>
      <c r="F245" s="20"/>
      <c r="G245" s="20"/>
      <c r="H24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5" s="21"/>
      <c r="J24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6" spans="1:12" x14ac:dyDescent="0.3">
      <c r="A246" s="20"/>
      <c r="B246" s="20"/>
      <c r="C246" s="20"/>
      <c r="D246" s="29"/>
      <c r="E246" s="20"/>
      <c r="F246" s="20"/>
      <c r="G246" s="20"/>
      <c r="H24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6" s="21"/>
      <c r="J24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7" spans="1:12" x14ac:dyDescent="0.3">
      <c r="A247" s="20"/>
      <c r="B247" s="20"/>
      <c r="C247" s="20"/>
      <c r="D247" s="29"/>
      <c r="E247" s="20"/>
      <c r="F247" s="20"/>
      <c r="G247" s="20"/>
      <c r="H24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7" s="21"/>
      <c r="J24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8" spans="1:12" x14ac:dyDescent="0.3">
      <c r="A248" s="20"/>
      <c r="B248" s="20"/>
      <c r="C248" s="20"/>
      <c r="D248" s="29"/>
      <c r="E248" s="20"/>
      <c r="F248" s="20"/>
      <c r="G248" s="20"/>
      <c r="H24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8" s="21"/>
      <c r="J24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49" spans="1:12" x14ac:dyDescent="0.3">
      <c r="A249" s="20"/>
      <c r="B249" s="20"/>
      <c r="C249" s="20"/>
      <c r="D249" s="29"/>
      <c r="E249" s="20"/>
      <c r="F249" s="20"/>
      <c r="G249" s="20"/>
      <c r="H24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49" s="21"/>
      <c r="J24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4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4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0" spans="1:12" x14ac:dyDescent="0.3">
      <c r="A250" s="20"/>
      <c r="B250" s="20"/>
      <c r="C250" s="20"/>
      <c r="D250" s="29"/>
      <c r="E250" s="20"/>
      <c r="F250" s="20"/>
      <c r="G250" s="20"/>
      <c r="H25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0" s="21"/>
      <c r="J25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1" spans="1:12" x14ac:dyDescent="0.3">
      <c r="A251" s="20"/>
      <c r="B251" s="20"/>
      <c r="C251" s="20"/>
      <c r="D251" s="29"/>
      <c r="E251" s="20"/>
      <c r="F251" s="20"/>
      <c r="G251" s="20"/>
      <c r="H25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1" s="21"/>
      <c r="J25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2" spans="1:12" x14ac:dyDescent="0.3">
      <c r="A252" s="20"/>
      <c r="B252" s="20"/>
      <c r="C252" s="20"/>
      <c r="D252" s="29"/>
      <c r="E252" s="20"/>
      <c r="F252" s="20"/>
      <c r="G252" s="20"/>
      <c r="H25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2" s="21"/>
      <c r="J25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3" spans="1:12" x14ac:dyDescent="0.3">
      <c r="A253" s="20"/>
      <c r="B253" s="20"/>
      <c r="C253" s="20"/>
      <c r="D253" s="29"/>
      <c r="E253" s="20"/>
      <c r="F253" s="20"/>
      <c r="G253" s="20"/>
      <c r="H25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3" s="21"/>
      <c r="J25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4" spans="1:12" x14ac:dyDescent="0.3">
      <c r="A254" s="20"/>
      <c r="B254" s="20"/>
      <c r="C254" s="20"/>
      <c r="D254" s="29"/>
      <c r="E254" s="20"/>
      <c r="F254" s="20"/>
      <c r="G254" s="20"/>
      <c r="H25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4" s="21"/>
      <c r="J25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5" spans="1:12" x14ac:dyDescent="0.3">
      <c r="A255" s="20"/>
      <c r="B255" s="20"/>
      <c r="C255" s="20"/>
      <c r="D255" s="29"/>
      <c r="E255" s="20"/>
      <c r="F255" s="20"/>
      <c r="G255" s="20"/>
      <c r="H25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5" s="21"/>
      <c r="J25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6" spans="1:12" x14ac:dyDescent="0.3">
      <c r="A256" s="20"/>
      <c r="B256" s="20"/>
      <c r="C256" s="20"/>
      <c r="D256" s="29"/>
      <c r="E256" s="20"/>
      <c r="F256" s="20"/>
      <c r="G256" s="20"/>
      <c r="H25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6" s="21"/>
      <c r="J25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7" spans="1:12" x14ac:dyDescent="0.3">
      <c r="A257" s="20"/>
      <c r="B257" s="20"/>
      <c r="C257" s="20"/>
      <c r="D257" s="29"/>
      <c r="E257" s="20"/>
      <c r="F257" s="20"/>
      <c r="G257" s="20"/>
      <c r="H25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7" s="21"/>
      <c r="J25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8" spans="1:12" x14ac:dyDescent="0.3">
      <c r="A258" s="20"/>
      <c r="B258" s="20"/>
      <c r="C258" s="20"/>
      <c r="D258" s="29"/>
      <c r="E258" s="20"/>
      <c r="F258" s="20"/>
      <c r="G258" s="20"/>
      <c r="H25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8" s="21"/>
      <c r="J25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59" spans="1:12" x14ac:dyDescent="0.3">
      <c r="A259" s="20"/>
      <c r="B259" s="20"/>
      <c r="C259" s="20"/>
      <c r="D259" s="29"/>
      <c r="E259" s="20"/>
      <c r="F259" s="20"/>
      <c r="G259" s="20"/>
      <c r="H25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59" s="21"/>
      <c r="J25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5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5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0" spans="1:12" x14ac:dyDescent="0.3">
      <c r="A260" s="20"/>
      <c r="B260" s="20"/>
      <c r="C260" s="20"/>
      <c r="D260" s="29"/>
      <c r="E260" s="20"/>
      <c r="F260" s="20"/>
      <c r="G260" s="20"/>
      <c r="H26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0" s="21"/>
      <c r="J26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1" spans="1:12" x14ac:dyDescent="0.3">
      <c r="A261" s="20"/>
      <c r="B261" s="20"/>
      <c r="C261" s="20"/>
      <c r="D261" s="29"/>
      <c r="E261" s="20"/>
      <c r="F261" s="20"/>
      <c r="G261" s="20"/>
      <c r="H26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1" s="21"/>
      <c r="J26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2" spans="1:12" x14ac:dyDescent="0.3">
      <c r="A262" s="20"/>
      <c r="B262" s="20"/>
      <c r="C262" s="20"/>
      <c r="D262" s="29"/>
      <c r="E262" s="20"/>
      <c r="F262" s="20"/>
      <c r="G262" s="20"/>
      <c r="H26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2" s="21"/>
      <c r="J26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3" spans="1:12" x14ac:dyDescent="0.3">
      <c r="A263" s="20"/>
      <c r="B263" s="20"/>
      <c r="C263" s="20"/>
      <c r="D263" s="29"/>
      <c r="E263" s="20"/>
      <c r="F263" s="20"/>
      <c r="G263" s="20"/>
      <c r="H26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3" s="21"/>
      <c r="J26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4" spans="1:12" x14ac:dyDescent="0.3">
      <c r="A264" s="20"/>
      <c r="B264" s="20"/>
      <c r="C264" s="20"/>
      <c r="D264" s="29"/>
      <c r="E264" s="20"/>
      <c r="F264" s="20"/>
      <c r="G264" s="20"/>
      <c r="H26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4" s="21"/>
      <c r="J26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5" spans="1:12" x14ac:dyDescent="0.3">
      <c r="A265" s="20"/>
      <c r="B265" s="20"/>
      <c r="C265" s="20"/>
      <c r="D265" s="29"/>
      <c r="E265" s="20"/>
      <c r="F265" s="20"/>
      <c r="G265" s="20"/>
      <c r="H26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5" s="21"/>
      <c r="J26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6" spans="1:12" x14ac:dyDescent="0.3">
      <c r="A266" s="20"/>
      <c r="B266" s="20"/>
      <c r="C266" s="20"/>
      <c r="D266" s="29"/>
      <c r="E266" s="20"/>
      <c r="F266" s="20"/>
      <c r="G266" s="20"/>
      <c r="H26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6" s="21"/>
      <c r="J26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7" spans="1:12" x14ac:dyDescent="0.3">
      <c r="A267" s="20"/>
      <c r="B267" s="20"/>
      <c r="C267" s="20"/>
      <c r="D267" s="29"/>
      <c r="E267" s="20"/>
      <c r="F267" s="20"/>
      <c r="G267" s="20"/>
      <c r="H26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7" s="21"/>
      <c r="J26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8" spans="1:12" x14ac:dyDescent="0.3">
      <c r="A268" s="20"/>
      <c r="B268" s="20"/>
      <c r="C268" s="20"/>
      <c r="D268" s="29"/>
      <c r="E268" s="20"/>
      <c r="F268" s="20"/>
      <c r="G268" s="20"/>
      <c r="H26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8" s="21"/>
      <c r="J26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69" spans="1:12" x14ac:dyDescent="0.3">
      <c r="A269" s="20"/>
      <c r="B269" s="20"/>
      <c r="C269" s="20"/>
      <c r="D269" s="29"/>
      <c r="E269" s="20"/>
      <c r="F269" s="20"/>
      <c r="G269" s="20"/>
      <c r="H26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69" s="21"/>
      <c r="J26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6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6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0" spans="1:12" x14ac:dyDescent="0.3">
      <c r="A270" s="20"/>
      <c r="B270" s="20"/>
      <c r="C270" s="20"/>
      <c r="D270" s="29"/>
      <c r="E270" s="20"/>
      <c r="F270" s="20"/>
      <c r="G270" s="20"/>
      <c r="H27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0" s="21"/>
      <c r="J27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1" spans="1:12" x14ac:dyDescent="0.3">
      <c r="A271" s="20"/>
      <c r="B271" s="20"/>
      <c r="C271" s="20"/>
      <c r="D271" s="29"/>
      <c r="E271" s="20"/>
      <c r="F271" s="20"/>
      <c r="G271" s="20"/>
      <c r="H27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1" s="21"/>
      <c r="J27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2" spans="1:12" x14ac:dyDescent="0.3">
      <c r="A272" s="20"/>
      <c r="B272" s="20"/>
      <c r="C272" s="20"/>
      <c r="D272" s="29"/>
      <c r="E272" s="20"/>
      <c r="F272" s="20"/>
      <c r="G272" s="20"/>
      <c r="H27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2" s="21"/>
      <c r="J27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3" spans="1:12" x14ac:dyDescent="0.3">
      <c r="A273" s="20"/>
      <c r="B273" s="20"/>
      <c r="C273" s="20"/>
      <c r="D273" s="29"/>
      <c r="E273" s="20"/>
      <c r="F273" s="20"/>
      <c r="G273" s="20"/>
      <c r="H27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3" s="21"/>
      <c r="J27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4" spans="1:12" x14ac:dyDescent="0.3">
      <c r="A274" s="20"/>
      <c r="B274" s="20"/>
      <c r="C274" s="20"/>
      <c r="D274" s="29"/>
      <c r="E274" s="20"/>
      <c r="F274" s="20"/>
      <c r="G274" s="20"/>
      <c r="H27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4" s="21"/>
      <c r="J27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5" spans="1:12" x14ac:dyDescent="0.3">
      <c r="A275" s="20"/>
      <c r="B275" s="20"/>
      <c r="C275" s="20"/>
      <c r="D275" s="29"/>
      <c r="E275" s="20"/>
      <c r="F275" s="20"/>
      <c r="G275" s="20"/>
      <c r="H27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5" s="21"/>
      <c r="J27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6" spans="1:12" x14ac:dyDescent="0.3">
      <c r="A276" s="20"/>
      <c r="B276" s="20"/>
      <c r="C276" s="20"/>
      <c r="D276" s="29"/>
      <c r="E276" s="20"/>
      <c r="F276" s="20"/>
      <c r="G276" s="20"/>
      <c r="H27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6" s="21"/>
      <c r="J27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7" spans="1:12" x14ac:dyDescent="0.3">
      <c r="A277" s="20"/>
      <c r="B277" s="20"/>
      <c r="C277" s="20"/>
      <c r="D277" s="29"/>
      <c r="E277" s="20"/>
      <c r="F277" s="20"/>
      <c r="G277" s="20"/>
      <c r="H27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7" s="21"/>
      <c r="J27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8" spans="1:12" x14ac:dyDescent="0.3">
      <c r="A278" s="20"/>
      <c r="B278" s="20"/>
      <c r="C278" s="20"/>
      <c r="D278" s="29"/>
      <c r="E278" s="20"/>
      <c r="F278" s="20"/>
      <c r="G278" s="20"/>
      <c r="H27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8" s="21"/>
      <c r="J27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79" spans="1:12" x14ac:dyDescent="0.3">
      <c r="A279" s="20"/>
      <c r="B279" s="20"/>
      <c r="C279" s="20"/>
      <c r="D279" s="29"/>
      <c r="E279" s="20"/>
      <c r="F279" s="20"/>
      <c r="G279" s="20"/>
      <c r="H27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79" s="21"/>
      <c r="J27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7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7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0" spans="1:12" x14ac:dyDescent="0.3">
      <c r="A280" s="20"/>
      <c r="B280" s="20"/>
      <c r="C280" s="20"/>
      <c r="D280" s="29"/>
      <c r="E280" s="20"/>
      <c r="F280" s="20"/>
      <c r="G280" s="20"/>
      <c r="H28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0" s="21"/>
      <c r="J28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1" spans="1:12" x14ac:dyDescent="0.3">
      <c r="A281" s="20"/>
      <c r="B281" s="20"/>
      <c r="C281" s="20"/>
      <c r="D281" s="29"/>
      <c r="E281" s="20"/>
      <c r="F281" s="20"/>
      <c r="G281" s="20"/>
      <c r="H28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1" s="21"/>
      <c r="J28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2" spans="1:12" x14ac:dyDescent="0.3">
      <c r="A282" s="20"/>
      <c r="B282" s="20"/>
      <c r="C282" s="20"/>
      <c r="D282" s="29"/>
      <c r="E282" s="20"/>
      <c r="F282" s="20"/>
      <c r="G282" s="20"/>
      <c r="H28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2" s="21"/>
      <c r="J28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3" spans="1:12" x14ac:dyDescent="0.3">
      <c r="A283" s="20"/>
      <c r="B283" s="20"/>
      <c r="C283" s="20"/>
      <c r="D283" s="29"/>
      <c r="E283" s="20"/>
      <c r="F283" s="20"/>
      <c r="G283" s="20"/>
      <c r="H28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3" s="21"/>
      <c r="J28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4" spans="1:12" x14ac:dyDescent="0.3">
      <c r="A284" s="20"/>
      <c r="B284" s="20"/>
      <c r="C284" s="20"/>
      <c r="D284" s="29"/>
      <c r="E284" s="20"/>
      <c r="F284" s="20"/>
      <c r="G284" s="20"/>
      <c r="H28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4" s="21">
        <v>12000</v>
      </c>
      <c r="J28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5" spans="1:12" x14ac:dyDescent="0.3">
      <c r="A285" s="20"/>
      <c r="B285" s="20"/>
      <c r="C285" s="20"/>
      <c r="D285" s="29"/>
      <c r="E285" s="20"/>
      <c r="F285" s="20"/>
      <c r="G285" s="20"/>
      <c r="H28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5" s="21"/>
      <c r="J28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6" spans="1:12" x14ac:dyDescent="0.3">
      <c r="A286" s="20"/>
      <c r="B286" s="20"/>
      <c r="C286" s="20"/>
      <c r="D286" s="29"/>
      <c r="E286" s="20"/>
      <c r="F286" s="20"/>
      <c r="G286" s="20"/>
      <c r="H28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6" s="21"/>
      <c r="J28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7" spans="1:12" x14ac:dyDescent="0.3">
      <c r="A287" s="20"/>
      <c r="B287" s="20"/>
      <c r="C287" s="20"/>
      <c r="D287" s="29"/>
      <c r="E287" s="20"/>
      <c r="F287" s="20"/>
      <c r="G287" s="20"/>
      <c r="H28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7" s="21"/>
      <c r="J28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8" spans="1:12" x14ac:dyDescent="0.3">
      <c r="A288" s="20"/>
      <c r="B288" s="20"/>
      <c r="C288" s="20"/>
      <c r="D288" s="29"/>
      <c r="E288" s="20"/>
      <c r="F288" s="20"/>
      <c r="G288" s="20"/>
      <c r="H28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8" s="21"/>
      <c r="J28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89" spans="1:12" x14ac:dyDescent="0.3">
      <c r="A289" s="20"/>
      <c r="B289" s="20"/>
      <c r="C289" s="20"/>
      <c r="D289" s="29"/>
      <c r="E289" s="20"/>
      <c r="F289" s="20"/>
      <c r="G289" s="20"/>
      <c r="H28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89" s="21"/>
      <c r="J28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8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8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0" spans="1:12" x14ac:dyDescent="0.3">
      <c r="A290" s="20"/>
      <c r="B290" s="20"/>
      <c r="C290" s="20"/>
      <c r="D290" s="29"/>
      <c r="E290" s="20"/>
      <c r="F290" s="20"/>
      <c r="G290" s="20"/>
      <c r="H29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0" s="21"/>
      <c r="J29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1" spans="1:12" x14ac:dyDescent="0.3">
      <c r="A291" s="20"/>
      <c r="B291" s="20"/>
      <c r="C291" s="20"/>
      <c r="D291" s="29"/>
      <c r="E291" s="20"/>
      <c r="F291" s="20"/>
      <c r="G291" s="20"/>
      <c r="H29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1" s="21"/>
      <c r="J29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2" spans="1:12" x14ac:dyDescent="0.3">
      <c r="A292" s="20"/>
      <c r="B292" s="20"/>
      <c r="C292" s="20"/>
      <c r="D292" s="29"/>
      <c r="E292" s="20"/>
      <c r="F292" s="20"/>
      <c r="G292" s="20"/>
      <c r="H29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2" s="21"/>
      <c r="J29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3" spans="1:12" x14ac:dyDescent="0.3">
      <c r="A293" s="20"/>
      <c r="B293" s="20"/>
      <c r="C293" s="20"/>
      <c r="D293" s="29"/>
      <c r="E293" s="20"/>
      <c r="F293" s="20"/>
      <c r="G293" s="20"/>
      <c r="H29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3" s="21"/>
      <c r="J29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4" spans="1:12" x14ac:dyDescent="0.3">
      <c r="A294" s="20"/>
      <c r="B294" s="20"/>
      <c r="C294" s="20"/>
      <c r="D294" s="29"/>
      <c r="E294" s="20"/>
      <c r="F294" s="20"/>
      <c r="G294" s="20"/>
      <c r="H29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4" s="21"/>
      <c r="J29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5" spans="1:12" x14ac:dyDescent="0.3">
      <c r="A295" s="20"/>
      <c r="B295" s="20"/>
      <c r="C295" s="20"/>
      <c r="D295" s="29"/>
      <c r="E295" s="20"/>
      <c r="F295" s="20"/>
      <c r="G295" s="20"/>
      <c r="H29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5" s="21"/>
      <c r="J29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6" spans="1:12" x14ac:dyDescent="0.3">
      <c r="A296" s="20"/>
      <c r="B296" s="20"/>
      <c r="C296" s="20"/>
      <c r="D296" s="29"/>
      <c r="E296" s="20"/>
      <c r="F296" s="20"/>
      <c r="G296" s="20"/>
      <c r="H29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6" s="21"/>
      <c r="J29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7" spans="1:12" x14ac:dyDescent="0.3">
      <c r="A297" s="20"/>
      <c r="B297" s="20"/>
      <c r="C297" s="20"/>
      <c r="D297" s="29"/>
      <c r="E297" s="20"/>
      <c r="F297" s="20"/>
      <c r="G297" s="20"/>
      <c r="H29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7" s="21"/>
      <c r="J29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8" spans="1:12" x14ac:dyDescent="0.3">
      <c r="A298" s="20"/>
      <c r="B298" s="20"/>
      <c r="C298" s="20"/>
      <c r="D298" s="29"/>
      <c r="E298" s="20"/>
      <c r="F298" s="20"/>
      <c r="G298" s="20"/>
      <c r="H29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8" s="21"/>
      <c r="J29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299" spans="1:12" x14ac:dyDescent="0.3">
      <c r="A299" s="20"/>
      <c r="B299" s="20"/>
      <c r="C299" s="20"/>
      <c r="D299" s="29"/>
      <c r="E299" s="20"/>
      <c r="F299" s="20"/>
      <c r="G299" s="20"/>
      <c r="H29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299" s="21"/>
      <c r="J29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29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29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0" spans="1:12" x14ac:dyDescent="0.3">
      <c r="A300" s="20"/>
      <c r="B300" s="20"/>
      <c r="C300" s="20"/>
      <c r="D300" s="29"/>
      <c r="E300" s="20"/>
      <c r="F300" s="20"/>
      <c r="G300" s="20"/>
      <c r="H30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0" s="21"/>
      <c r="J30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1" spans="1:12" x14ac:dyDescent="0.3">
      <c r="A301" s="20"/>
      <c r="B301" s="20"/>
      <c r="C301" s="20"/>
      <c r="D301" s="29"/>
      <c r="E301" s="20"/>
      <c r="F301" s="20"/>
      <c r="G301" s="20"/>
      <c r="H30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1" s="21"/>
      <c r="J30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2" spans="1:12" x14ac:dyDescent="0.3">
      <c r="A302" s="20"/>
      <c r="B302" s="20"/>
      <c r="C302" s="20"/>
      <c r="D302" s="29"/>
      <c r="E302" s="20"/>
      <c r="F302" s="20"/>
      <c r="G302" s="20"/>
      <c r="H30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2" s="21"/>
      <c r="J30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3" spans="1:12" x14ac:dyDescent="0.3">
      <c r="A303" s="20"/>
      <c r="B303" s="20"/>
      <c r="C303" s="20"/>
      <c r="D303" s="29"/>
      <c r="E303" s="20"/>
      <c r="F303" s="20"/>
      <c r="G303" s="20"/>
      <c r="H30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3" s="21"/>
      <c r="J30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4" spans="1:12" x14ac:dyDescent="0.3">
      <c r="A304" s="20"/>
      <c r="B304" s="20"/>
      <c r="C304" s="20"/>
      <c r="D304" s="29"/>
      <c r="E304" s="20"/>
      <c r="F304" s="20"/>
      <c r="G304" s="20"/>
      <c r="H30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4" s="21"/>
      <c r="J30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5" spans="1:12" x14ac:dyDescent="0.3">
      <c r="A305" s="20"/>
      <c r="B305" s="20"/>
      <c r="C305" s="20"/>
      <c r="D305" s="29"/>
      <c r="E305" s="20"/>
      <c r="F305" s="20"/>
      <c r="G305" s="20"/>
      <c r="H30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5" s="21"/>
      <c r="J30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6" spans="1:12" x14ac:dyDescent="0.3">
      <c r="A306" s="20"/>
      <c r="B306" s="20"/>
      <c r="C306" s="20"/>
      <c r="D306" s="29"/>
      <c r="E306" s="20"/>
      <c r="F306" s="20"/>
      <c r="G306" s="20"/>
      <c r="H30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6" s="21"/>
      <c r="J30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7" spans="1:12" x14ac:dyDescent="0.3">
      <c r="A307" s="20"/>
      <c r="B307" s="20"/>
      <c r="C307" s="20"/>
      <c r="D307" s="29"/>
      <c r="E307" s="20"/>
      <c r="F307" s="20"/>
      <c r="G307" s="20"/>
      <c r="H30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7" s="21"/>
      <c r="J30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8" spans="1:12" x14ac:dyDescent="0.3">
      <c r="A308" s="20"/>
      <c r="B308" s="20"/>
      <c r="C308" s="20"/>
      <c r="D308" s="29"/>
      <c r="E308" s="20"/>
      <c r="F308" s="20"/>
      <c r="G308" s="20"/>
      <c r="H30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8" s="21"/>
      <c r="J30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09" spans="1:12" x14ac:dyDescent="0.3">
      <c r="A309" s="20"/>
      <c r="B309" s="20"/>
      <c r="C309" s="20"/>
      <c r="D309" s="29"/>
      <c r="E309" s="20"/>
      <c r="F309" s="20"/>
      <c r="G309" s="20"/>
      <c r="H30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09" s="21"/>
      <c r="J30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0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0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0" spans="1:12" x14ac:dyDescent="0.3">
      <c r="A310" s="20"/>
      <c r="B310" s="20"/>
      <c r="C310" s="20"/>
      <c r="D310" s="29"/>
      <c r="E310" s="20"/>
      <c r="F310" s="20"/>
      <c r="G310" s="20"/>
      <c r="H31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0" s="21"/>
      <c r="J31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1" spans="1:12" x14ac:dyDescent="0.3">
      <c r="A311" s="20"/>
      <c r="B311" s="20"/>
      <c r="C311" s="20"/>
      <c r="D311" s="29"/>
      <c r="E311" s="20"/>
      <c r="F311" s="20"/>
      <c r="G311" s="20"/>
      <c r="H31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1" s="21"/>
      <c r="J31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2" spans="1:12" x14ac:dyDescent="0.3">
      <c r="A312" s="20"/>
      <c r="B312" s="20"/>
      <c r="C312" s="20"/>
      <c r="D312" s="29"/>
      <c r="E312" s="20"/>
      <c r="F312" s="20"/>
      <c r="G312" s="20"/>
      <c r="H31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2" s="21"/>
      <c r="J31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3" spans="1:12" x14ac:dyDescent="0.3">
      <c r="A313" s="20"/>
      <c r="B313" s="20"/>
      <c r="C313" s="20"/>
      <c r="D313" s="29"/>
      <c r="E313" s="20"/>
      <c r="F313" s="20"/>
      <c r="G313" s="20"/>
      <c r="H31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3" s="21"/>
      <c r="J31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4" spans="1:12" x14ac:dyDescent="0.3">
      <c r="A314" s="20"/>
      <c r="B314" s="20"/>
      <c r="C314" s="20"/>
      <c r="D314" s="29"/>
      <c r="E314" s="20"/>
      <c r="F314" s="20"/>
      <c r="G314" s="20"/>
      <c r="H31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4" s="21"/>
      <c r="J31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5" spans="1:12" x14ac:dyDescent="0.3">
      <c r="A315" s="20"/>
      <c r="B315" s="20"/>
      <c r="C315" s="20"/>
      <c r="D315" s="29"/>
      <c r="E315" s="20"/>
      <c r="F315" s="20"/>
      <c r="G315" s="20"/>
      <c r="H31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5" s="21"/>
      <c r="J31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6" spans="1:12" x14ac:dyDescent="0.3">
      <c r="A316" s="20"/>
      <c r="B316" s="20"/>
      <c r="C316" s="20"/>
      <c r="D316" s="29"/>
      <c r="E316" s="20"/>
      <c r="F316" s="20"/>
      <c r="G316" s="20"/>
      <c r="H31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6" s="21"/>
      <c r="J31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7" spans="1:12" x14ac:dyDescent="0.3">
      <c r="A317" s="20"/>
      <c r="B317" s="20"/>
      <c r="C317" s="20"/>
      <c r="D317" s="29"/>
      <c r="E317" s="20"/>
      <c r="F317" s="20"/>
      <c r="G317" s="20"/>
      <c r="H31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7" s="21"/>
      <c r="J31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8" spans="1:12" x14ac:dyDescent="0.3">
      <c r="A318" s="20"/>
      <c r="B318" s="20"/>
      <c r="C318" s="20"/>
      <c r="D318" s="29"/>
      <c r="E318" s="20"/>
      <c r="F318" s="20"/>
      <c r="G318" s="20"/>
      <c r="H31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8" s="21"/>
      <c r="J31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19" spans="1:12" x14ac:dyDescent="0.3">
      <c r="A319" s="20"/>
      <c r="B319" s="20"/>
      <c r="C319" s="20"/>
      <c r="D319" s="29"/>
      <c r="E319" s="20"/>
      <c r="F319" s="20"/>
      <c r="G319" s="20"/>
      <c r="H31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19" s="21"/>
      <c r="J31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1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1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0" spans="1:12" x14ac:dyDescent="0.3">
      <c r="A320" s="20"/>
      <c r="B320" s="20"/>
      <c r="C320" s="20"/>
      <c r="D320" s="29"/>
      <c r="E320" s="20"/>
      <c r="F320" s="20"/>
      <c r="G320" s="20"/>
      <c r="H32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0" s="21"/>
      <c r="J32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1" spans="1:12" x14ac:dyDescent="0.3">
      <c r="A321" s="20"/>
      <c r="B321" s="20"/>
      <c r="C321" s="20"/>
      <c r="D321" s="29"/>
      <c r="E321" s="20"/>
      <c r="F321" s="20"/>
      <c r="G321" s="20"/>
      <c r="H32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1" s="21"/>
      <c r="J32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2" spans="1:12" x14ac:dyDescent="0.3">
      <c r="A322" s="20"/>
      <c r="B322" s="20"/>
      <c r="C322" s="20"/>
      <c r="D322" s="29"/>
      <c r="E322" s="20"/>
      <c r="F322" s="20"/>
      <c r="G322" s="20"/>
      <c r="H32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2" s="21"/>
      <c r="J32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3" spans="1:12" x14ac:dyDescent="0.3">
      <c r="A323" s="20"/>
      <c r="B323" s="20"/>
      <c r="C323" s="20"/>
      <c r="D323" s="29"/>
      <c r="E323" s="20"/>
      <c r="F323" s="20"/>
      <c r="G323" s="20"/>
      <c r="H32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3" s="21"/>
      <c r="J32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4" spans="1:12" x14ac:dyDescent="0.3">
      <c r="A324" s="20"/>
      <c r="B324" s="20"/>
      <c r="C324" s="20"/>
      <c r="D324" s="29"/>
      <c r="E324" s="20"/>
      <c r="F324" s="20"/>
      <c r="G324" s="20"/>
      <c r="H32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4" s="21"/>
      <c r="J32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5" spans="1:12" x14ac:dyDescent="0.3">
      <c r="A325" s="20"/>
      <c r="B325" s="20"/>
      <c r="C325" s="20"/>
      <c r="D325" s="29"/>
      <c r="E325" s="20"/>
      <c r="F325" s="20"/>
      <c r="G325" s="20"/>
      <c r="H32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5" s="21"/>
      <c r="J32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6" spans="1:12" x14ac:dyDescent="0.3">
      <c r="A326" s="20"/>
      <c r="B326" s="20"/>
      <c r="C326" s="20"/>
      <c r="D326" s="29"/>
      <c r="E326" s="20"/>
      <c r="F326" s="20"/>
      <c r="G326" s="20"/>
      <c r="H32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6" s="21"/>
      <c r="J32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7" spans="1:12" x14ac:dyDescent="0.3">
      <c r="A327" s="20"/>
      <c r="B327" s="20"/>
      <c r="C327" s="20"/>
      <c r="D327" s="29"/>
      <c r="E327" s="20"/>
      <c r="F327" s="20"/>
      <c r="G327" s="20"/>
      <c r="H32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7" s="21"/>
      <c r="J32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8" spans="1:12" x14ac:dyDescent="0.3">
      <c r="A328" s="20"/>
      <c r="B328" s="20"/>
      <c r="C328" s="20"/>
      <c r="D328" s="29"/>
      <c r="E328" s="20"/>
      <c r="F328" s="20"/>
      <c r="G328" s="20"/>
      <c r="H32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8" s="21"/>
      <c r="J32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29" spans="1:12" x14ac:dyDescent="0.3">
      <c r="A329" s="20"/>
      <c r="B329" s="20"/>
      <c r="C329" s="20"/>
      <c r="D329" s="29"/>
      <c r="E329" s="20"/>
      <c r="F329" s="20"/>
      <c r="G329" s="20"/>
      <c r="H32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29" s="21"/>
      <c r="J32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2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2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0" spans="1:12" x14ac:dyDescent="0.3">
      <c r="A330" s="20"/>
      <c r="B330" s="20"/>
      <c r="C330" s="20"/>
      <c r="D330" s="29"/>
      <c r="E330" s="20"/>
      <c r="F330" s="20"/>
      <c r="G330" s="20"/>
      <c r="H33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0" s="21"/>
      <c r="J33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1" spans="1:12" x14ac:dyDescent="0.3">
      <c r="A331" s="20"/>
      <c r="B331" s="20"/>
      <c r="C331" s="20"/>
      <c r="D331" s="29"/>
      <c r="E331" s="20"/>
      <c r="F331" s="20"/>
      <c r="G331" s="20"/>
      <c r="H33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1" s="21"/>
      <c r="J33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2" spans="1:12" x14ac:dyDescent="0.3">
      <c r="A332" s="20"/>
      <c r="B332" s="20"/>
      <c r="C332" s="20"/>
      <c r="D332" s="29"/>
      <c r="E332" s="20"/>
      <c r="F332" s="20"/>
      <c r="G332" s="20"/>
      <c r="H33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2" s="21"/>
      <c r="J33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3" spans="1:12" x14ac:dyDescent="0.3">
      <c r="A333" s="20"/>
      <c r="B333" s="20"/>
      <c r="C333" s="20"/>
      <c r="D333" s="29"/>
      <c r="E333" s="20"/>
      <c r="F333" s="20"/>
      <c r="G333" s="20"/>
      <c r="H33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3" s="21"/>
      <c r="J33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4" spans="1:12" x14ac:dyDescent="0.3">
      <c r="A334" s="20"/>
      <c r="B334" s="20"/>
      <c r="C334" s="20"/>
      <c r="D334" s="29"/>
      <c r="E334" s="20"/>
      <c r="F334" s="20"/>
      <c r="G334" s="20"/>
      <c r="H33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4" s="21"/>
      <c r="J33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5" spans="1:12" x14ac:dyDescent="0.3">
      <c r="A335" s="20"/>
      <c r="B335" s="20"/>
      <c r="C335" s="20"/>
      <c r="D335" s="29"/>
      <c r="E335" s="20"/>
      <c r="F335" s="20"/>
      <c r="G335" s="20"/>
      <c r="H33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5" s="21"/>
      <c r="J33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6" spans="1:12" x14ac:dyDescent="0.3">
      <c r="A336" s="20"/>
      <c r="B336" s="20"/>
      <c r="C336" s="20"/>
      <c r="D336" s="29"/>
      <c r="E336" s="20"/>
      <c r="F336" s="20"/>
      <c r="G336" s="20"/>
      <c r="H33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6" s="21"/>
      <c r="J33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7" spans="1:12" x14ac:dyDescent="0.3">
      <c r="A337" s="20"/>
      <c r="B337" s="20"/>
      <c r="C337" s="20"/>
      <c r="D337" s="29"/>
      <c r="E337" s="20"/>
      <c r="F337" s="20"/>
      <c r="G337" s="20"/>
      <c r="H33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7" s="21"/>
      <c r="J33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8" spans="1:12" x14ac:dyDescent="0.3">
      <c r="A338" s="20"/>
      <c r="B338" s="20"/>
      <c r="C338" s="20"/>
      <c r="D338" s="29"/>
      <c r="E338" s="20"/>
      <c r="F338" s="20"/>
      <c r="G338" s="20"/>
      <c r="H33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8" s="21"/>
      <c r="J33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39" spans="1:12" x14ac:dyDescent="0.3">
      <c r="A339" s="20"/>
      <c r="B339" s="20"/>
      <c r="C339" s="20"/>
      <c r="D339" s="29"/>
      <c r="E339" s="20"/>
      <c r="F339" s="20"/>
      <c r="G339" s="20"/>
      <c r="H33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39" s="21"/>
      <c r="J33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3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3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0" spans="1:12" x14ac:dyDescent="0.3">
      <c r="A340" s="20"/>
      <c r="B340" s="20"/>
      <c r="C340" s="20"/>
      <c r="D340" s="29"/>
      <c r="E340" s="20"/>
      <c r="F340" s="20"/>
      <c r="G340" s="20"/>
      <c r="H34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0" s="21"/>
      <c r="J34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1" spans="1:12" x14ac:dyDescent="0.3">
      <c r="A341" s="20"/>
      <c r="B341" s="20"/>
      <c r="C341" s="20"/>
      <c r="D341" s="29"/>
      <c r="E341" s="20"/>
      <c r="F341" s="20"/>
      <c r="G341" s="20"/>
      <c r="H34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1" s="21"/>
      <c r="J34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2" spans="1:12" x14ac:dyDescent="0.3">
      <c r="A342" s="20"/>
      <c r="B342" s="20"/>
      <c r="C342" s="20"/>
      <c r="D342" s="29"/>
      <c r="E342" s="20"/>
      <c r="F342" s="20"/>
      <c r="G342" s="20"/>
      <c r="H34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2" s="21"/>
      <c r="J34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3" spans="1:12" x14ac:dyDescent="0.3">
      <c r="A343" s="20"/>
      <c r="B343" s="20"/>
      <c r="C343" s="20"/>
      <c r="D343" s="29"/>
      <c r="E343" s="20"/>
      <c r="F343" s="20"/>
      <c r="G343" s="20"/>
      <c r="H34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3" s="21"/>
      <c r="J34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4" spans="1:12" x14ac:dyDescent="0.3">
      <c r="A344" s="20"/>
      <c r="B344" s="20"/>
      <c r="C344" s="20"/>
      <c r="D344" s="29"/>
      <c r="E344" s="20"/>
      <c r="F344" s="20"/>
      <c r="G344" s="20"/>
      <c r="H34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4" s="21"/>
      <c r="J34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5" spans="1:12" x14ac:dyDescent="0.3">
      <c r="A345" s="20"/>
      <c r="B345" s="20"/>
      <c r="C345" s="20"/>
      <c r="D345" s="29"/>
      <c r="E345" s="20"/>
      <c r="F345" s="20"/>
      <c r="G345" s="20"/>
      <c r="H34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5" s="21"/>
      <c r="J34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6" spans="1:12" x14ac:dyDescent="0.3">
      <c r="A346" s="20"/>
      <c r="B346" s="20"/>
      <c r="C346" s="20"/>
      <c r="D346" s="29"/>
      <c r="E346" s="20"/>
      <c r="F346" s="20"/>
      <c r="G346" s="20"/>
      <c r="H34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6" s="21"/>
      <c r="J34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7" spans="1:12" x14ac:dyDescent="0.3">
      <c r="A347" s="20"/>
      <c r="B347" s="20"/>
      <c r="C347" s="20"/>
      <c r="D347" s="29"/>
      <c r="E347" s="20"/>
      <c r="F347" s="20"/>
      <c r="G347" s="20"/>
      <c r="H34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7" s="21"/>
      <c r="J34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8" spans="1:12" x14ac:dyDescent="0.3">
      <c r="A348" s="20"/>
      <c r="B348" s="20"/>
      <c r="C348" s="20"/>
      <c r="D348" s="29"/>
      <c r="E348" s="20"/>
      <c r="F348" s="20"/>
      <c r="G348" s="20"/>
      <c r="H34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8" s="21"/>
      <c r="J34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49" spans="1:12" x14ac:dyDescent="0.3">
      <c r="A349" s="20"/>
      <c r="B349" s="20"/>
      <c r="C349" s="20"/>
      <c r="D349" s="29"/>
      <c r="E349" s="20"/>
      <c r="F349" s="20"/>
      <c r="G349" s="20"/>
      <c r="H34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49" s="21"/>
      <c r="J34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4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4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0" spans="1:12" x14ac:dyDescent="0.3">
      <c r="A350" s="20"/>
      <c r="B350" s="20"/>
      <c r="C350" s="20"/>
      <c r="D350" s="29"/>
      <c r="E350" s="20"/>
      <c r="F350" s="20"/>
      <c r="G350" s="20"/>
      <c r="H35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0" s="21"/>
      <c r="J35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1" spans="1:12" x14ac:dyDescent="0.3">
      <c r="A351" s="20"/>
      <c r="B351" s="20"/>
      <c r="C351" s="20"/>
      <c r="D351" s="29"/>
      <c r="E351" s="20"/>
      <c r="F351" s="20"/>
      <c r="G351" s="20"/>
      <c r="H35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1" s="21"/>
      <c r="J35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2" spans="1:12" x14ac:dyDescent="0.3">
      <c r="A352" s="20"/>
      <c r="B352" s="20"/>
      <c r="C352" s="20"/>
      <c r="D352" s="29"/>
      <c r="E352" s="20"/>
      <c r="F352" s="20"/>
      <c r="G352" s="20"/>
      <c r="H35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2" s="21"/>
      <c r="J35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3" spans="1:12" x14ac:dyDescent="0.3">
      <c r="A353" s="20"/>
      <c r="B353" s="20"/>
      <c r="C353" s="20"/>
      <c r="D353" s="29"/>
      <c r="E353" s="20"/>
      <c r="F353" s="20"/>
      <c r="G353" s="20"/>
      <c r="H35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3" s="21"/>
      <c r="J35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4" spans="1:12" x14ac:dyDescent="0.3">
      <c r="A354" s="20"/>
      <c r="B354" s="20"/>
      <c r="C354" s="20"/>
      <c r="D354" s="29"/>
      <c r="E354" s="20"/>
      <c r="F354" s="20"/>
      <c r="G354" s="20"/>
      <c r="H35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4" s="21"/>
      <c r="J35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5" spans="1:12" x14ac:dyDescent="0.3">
      <c r="A355" s="20"/>
      <c r="B355" s="20"/>
      <c r="C355" s="20"/>
      <c r="D355" s="29"/>
      <c r="E355" s="20"/>
      <c r="F355" s="20"/>
      <c r="G355" s="20"/>
      <c r="H35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5" s="21"/>
      <c r="J35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6" spans="1:12" x14ac:dyDescent="0.3">
      <c r="A356" s="20"/>
      <c r="B356" s="20"/>
      <c r="C356" s="20"/>
      <c r="D356" s="29"/>
      <c r="E356" s="20"/>
      <c r="F356" s="20"/>
      <c r="G356" s="20"/>
      <c r="H35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6" s="21"/>
      <c r="J35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7" spans="1:12" x14ac:dyDescent="0.3">
      <c r="A357" s="20"/>
      <c r="B357" s="20"/>
      <c r="C357" s="20"/>
      <c r="D357" s="29"/>
      <c r="E357" s="20"/>
      <c r="F357" s="20"/>
      <c r="G357" s="20"/>
      <c r="H35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7" s="21"/>
      <c r="J35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8" spans="1:12" x14ac:dyDescent="0.3">
      <c r="A358" s="20"/>
      <c r="B358" s="20"/>
      <c r="C358" s="20"/>
      <c r="D358" s="29"/>
      <c r="E358" s="20"/>
      <c r="F358" s="20"/>
      <c r="G358" s="20"/>
      <c r="H35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8" s="21"/>
      <c r="J35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59" spans="1:12" x14ac:dyDescent="0.3">
      <c r="A359" s="20"/>
      <c r="B359" s="20"/>
      <c r="C359" s="20"/>
      <c r="D359" s="29"/>
      <c r="E359" s="20"/>
      <c r="F359" s="20"/>
      <c r="G359" s="20"/>
      <c r="H35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59" s="21"/>
      <c r="J35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5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5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0" spans="1:12" x14ac:dyDescent="0.3">
      <c r="A360" s="20"/>
      <c r="B360" s="20"/>
      <c r="C360" s="20"/>
      <c r="D360" s="29"/>
      <c r="E360" s="20"/>
      <c r="F360" s="20"/>
      <c r="G360" s="20"/>
      <c r="H36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0" s="21"/>
      <c r="J36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1" spans="1:12" x14ac:dyDescent="0.3">
      <c r="A361" s="20"/>
      <c r="B361" s="20"/>
      <c r="C361" s="20"/>
      <c r="D361" s="29"/>
      <c r="E361" s="20"/>
      <c r="F361" s="20"/>
      <c r="G361" s="20"/>
      <c r="H36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1" s="21"/>
      <c r="J36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2" spans="1:12" x14ac:dyDescent="0.3">
      <c r="A362" s="20"/>
      <c r="B362" s="20"/>
      <c r="C362" s="20"/>
      <c r="D362" s="29"/>
      <c r="E362" s="20"/>
      <c r="F362" s="20"/>
      <c r="G362" s="20"/>
      <c r="H36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2" s="21"/>
      <c r="J36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3" spans="1:12" x14ac:dyDescent="0.3">
      <c r="A363" s="20"/>
      <c r="B363" s="20"/>
      <c r="C363" s="20"/>
      <c r="D363" s="29"/>
      <c r="E363" s="20"/>
      <c r="F363" s="20"/>
      <c r="G363" s="20"/>
      <c r="H36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3" s="21"/>
      <c r="J36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4" spans="1:12" x14ac:dyDescent="0.3">
      <c r="A364" s="20"/>
      <c r="B364" s="20"/>
      <c r="C364" s="20"/>
      <c r="D364" s="29"/>
      <c r="E364" s="20"/>
      <c r="F364" s="20"/>
      <c r="G364" s="20"/>
      <c r="H36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4" s="21"/>
      <c r="J36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5" spans="1:12" x14ac:dyDescent="0.3">
      <c r="A365" s="20"/>
      <c r="B365" s="20"/>
      <c r="C365" s="20"/>
      <c r="D365" s="29"/>
      <c r="E365" s="20"/>
      <c r="F365" s="20"/>
      <c r="G365" s="20"/>
      <c r="H36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5" s="21"/>
      <c r="J36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6" spans="1:12" x14ac:dyDescent="0.3">
      <c r="A366" s="20"/>
      <c r="B366" s="20"/>
      <c r="C366" s="20"/>
      <c r="D366" s="29"/>
      <c r="E366" s="20"/>
      <c r="F366" s="20"/>
      <c r="G366" s="20"/>
      <c r="H36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6" s="21"/>
      <c r="J36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7" spans="1:12" x14ac:dyDescent="0.3">
      <c r="A367" s="20"/>
      <c r="B367" s="20"/>
      <c r="C367" s="20"/>
      <c r="D367" s="29"/>
      <c r="E367" s="20"/>
      <c r="F367" s="20"/>
      <c r="G367" s="20"/>
      <c r="H36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7" s="21"/>
      <c r="J36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8" spans="1:12" x14ac:dyDescent="0.3">
      <c r="A368" s="20"/>
      <c r="B368" s="20"/>
      <c r="C368" s="20"/>
      <c r="D368" s="29"/>
      <c r="E368" s="20"/>
      <c r="F368" s="20"/>
      <c r="G368" s="20"/>
      <c r="H36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8" s="21"/>
      <c r="J36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69" spans="1:12" x14ac:dyDescent="0.3">
      <c r="A369" s="20"/>
      <c r="B369" s="20"/>
      <c r="C369" s="20"/>
      <c r="D369" s="29"/>
      <c r="E369" s="20"/>
      <c r="F369" s="20"/>
      <c r="G369" s="20"/>
      <c r="H36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69" s="21"/>
      <c r="J36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6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6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0" spans="1:12" x14ac:dyDescent="0.3">
      <c r="A370" s="20"/>
      <c r="B370" s="20"/>
      <c r="C370" s="20"/>
      <c r="D370" s="29"/>
      <c r="E370" s="20"/>
      <c r="F370" s="20"/>
      <c r="G370" s="20"/>
      <c r="H37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0" s="21"/>
      <c r="J37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1" spans="1:12" x14ac:dyDescent="0.3">
      <c r="A371" s="20"/>
      <c r="B371" s="20"/>
      <c r="C371" s="20"/>
      <c r="D371" s="29"/>
      <c r="E371" s="20"/>
      <c r="F371" s="20"/>
      <c r="G371" s="20"/>
      <c r="H37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1" s="21"/>
      <c r="J37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2" spans="1:12" x14ac:dyDescent="0.3">
      <c r="A372" s="20"/>
      <c r="B372" s="20"/>
      <c r="C372" s="20"/>
      <c r="D372" s="29"/>
      <c r="E372" s="20"/>
      <c r="F372" s="20"/>
      <c r="G372" s="20"/>
      <c r="H37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2" s="21"/>
      <c r="J37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3" spans="1:12" x14ac:dyDescent="0.3">
      <c r="A373" s="20"/>
      <c r="B373" s="20"/>
      <c r="C373" s="20"/>
      <c r="D373" s="29"/>
      <c r="E373" s="20"/>
      <c r="F373" s="20"/>
      <c r="G373" s="20"/>
      <c r="H37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3" s="21"/>
      <c r="J37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4" spans="1:12" x14ac:dyDescent="0.3">
      <c r="A374" s="20"/>
      <c r="B374" s="20"/>
      <c r="C374" s="20"/>
      <c r="D374" s="29"/>
      <c r="E374" s="20"/>
      <c r="F374" s="20"/>
      <c r="G374" s="20"/>
      <c r="H37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4" s="21"/>
      <c r="J37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5" spans="1:12" x14ac:dyDescent="0.3">
      <c r="A375" s="20"/>
      <c r="B375" s="20"/>
      <c r="C375" s="20"/>
      <c r="D375" s="29"/>
      <c r="E375" s="20"/>
      <c r="F375" s="20"/>
      <c r="G375" s="20"/>
      <c r="H37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5" s="21"/>
      <c r="J37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6" spans="1:12" x14ac:dyDescent="0.3">
      <c r="A376" s="20"/>
      <c r="B376" s="20"/>
      <c r="C376" s="20"/>
      <c r="D376" s="29"/>
      <c r="E376" s="20"/>
      <c r="F376" s="20"/>
      <c r="G376" s="20"/>
      <c r="H37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6" s="21"/>
      <c r="J37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7" spans="1:12" x14ac:dyDescent="0.3">
      <c r="A377" s="20"/>
      <c r="B377" s="20"/>
      <c r="C377" s="20"/>
      <c r="D377" s="29"/>
      <c r="E377" s="20"/>
      <c r="F377" s="20"/>
      <c r="G377" s="20"/>
      <c r="H37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7" s="21"/>
      <c r="J37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8" spans="1:12" x14ac:dyDescent="0.3">
      <c r="A378" s="20"/>
      <c r="B378" s="20"/>
      <c r="C378" s="20"/>
      <c r="D378" s="29"/>
      <c r="E378" s="20"/>
      <c r="F378" s="20"/>
      <c r="G378" s="20"/>
      <c r="H37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8" s="21"/>
      <c r="J37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79" spans="1:12" x14ac:dyDescent="0.3">
      <c r="A379" s="20"/>
      <c r="B379" s="20"/>
      <c r="C379" s="20"/>
      <c r="D379" s="29"/>
      <c r="E379" s="20"/>
      <c r="F379" s="20"/>
      <c r="G379" s="20"/>
      <c r="H37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79" s="21"/>
      <c r="J37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7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7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0" spans="1:12" x14ac:dyDescent="0.3">
      <c r="A380" s="20"/>
      <c r="B380" s="20"/>
      <c r="C380" s="20"/>
      <c r="D380" s="29"/>
      <c r="E380" s="20"/>
      <c r="F380" s="20"/>
      <c r="G380" s="20"/>
      <c r="H38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0" s="21"/>
      <c r="J38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1" spans="1:12" x14ac:dyDescent="0.3">
      <c r="A381" s="20"/>
      <c r="B381" s="20"/>
      <c r="C381" s="20"/>
      <c r="D381" s="29"/>
      <c r="E381" s="20"/>
      <c r="F381" s="20"/>
      <c r="G381" s="20"/>
      <c r="H38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1" s="21"/>
      <c r="J38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2" spans="1:12" x14ac:dyDescent="0.3">
      <c r="A382" s="20"/>
      <c r="B382" s="20"/>
      <c r="C382" s="20"/>
      <c r="D382" s="29"/>
      <c r="E382" s="20"/>
      <c r="F382" s="20"/>
      <c r="G382" s="20"/>
      <c r="H38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2" s="21"/>
      <c r="J38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3" spans="1:12" x14ac:dyDescent="0.3">
      <c r="A383" s="20"/>
      <c r="B383" s="20"/>
      <c r="C383" s="20"/>
      <c r="D383" s="29"/>
      <c r="E383" s="20"/>
      <c r="F383" s="20"/>
      <c r="G383" s="20"/>
      <c r="H38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3" s="21"/>
      <c r="J38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4" spans="1:12" x14ac:dyDescent="0.3">
      <c r="A384" s="20"/>
      <c r="B384" s="20"/>
      <c r="C384" s="20"/>
      <c r="D384" s="29"/>
      <c r="E384" s="20"/>
      <c r="F384" s="20"/>
      <c r="G384" s="20"/>
      <c r="H38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4" s="21"/>
      <c r="J38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5" spans="1:12" x14ac:dyDescent="0.3">
      <c r="A385" s="20"/>
      <c r="B385" s="20"/>
      <c r="C385" s="20"/>
      <c r="D385" s="29"/>
      <c r="E385" s="20"/>
      <c r="F385" s="20"/>
      <c r="G385" s="20"/>
      <c r="H38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5" s="21"/>
      <c r="J38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6" spans="1:12" x14ac:dyDescent="0.3">
      <c r="A386" s="20"/>
      <c r="B386" s="20"/>
      <c r="C386" s="20"/>
      <c r="D386" s="29"/>
      <c r="E386" s="20"/>
      <c r="F386" s="20"/>
      <c r="G386" s="20"/>
      <c r="H38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6" s="21"/>
      <c r="J38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7" spans="1:12" x14ac:dyDescent="0.3">
      <c r="A387" s="20"/>
      <c r="B387" s="20"/>
      <c r="C387" s="20"/>
      <c r="D387" s="29"/>
      <c r="E387" s="20"/>
      <c r="F387" s="20"/>
      <c r="G387" s="20"/>
      <c r="H38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7" s="21"/>
      <c r="J38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8" spans="1:12" x14ac:dyDescent="0.3">
      <c r="A388" s="20"/>
      <c r="B388" s="20"/>
      <c r="C388" s="20"/>
      <c r="D388" s="29"/>
      <c r="E388" s="20"/>
      <c r="F388" s="20"/>
      <c r="G388" s="20"/>
      <c r="H38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8" s="21"/>
      <c r="J38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89" spans="1:12" x14ac:dyDescent="0.3">
      <c r="A389" s="20"/>
      <c r="B389" s="20"/>
      <c r="C389" s="20"/>
      <c r="D389" s="29"/>
      <c r="E389" s="20"/>
      <c r="F389" s="20"/>
      <c r="G389" s="20"/>
      <c r="H38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89" s="21"/>
      <c r="J38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8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8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0" spans="1:12" x14ac:dyDescent="0.3">
      <c r="A390" s="20"/>
      <c r="B390" s="20"/>
      <c r="C390" s="20"/>
      <c r="D390" s="29"/>
      <c r="E390" s="20"/>
      <c r="F390" s="20"/>
      <c r="G390" s="20"/>
      <c r="H39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0" s="21"/>
      <c r="J39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1" spans="1:12" x14ac:dyDescent="0.3">
      <c r="A391" s="20"/>
      <c r="B391" s="20"/>
      <c r="C391" s="20"/>
      <c r="D391" s="29"/>
      <c r="E391" s="20"/>
      <c r="F391" s="20"/>
      <c r="G391" s="20"/>
      <c r="H39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1" s="21"/>
      <c r="J39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2" spans="1:12" x14ac:dyDescent="0.3">
      <c r="A392" s="20"/>
      <c r="B392" s="20"/>
      <c r="C392" s="20"/>
      <c r="D392" s="29"/>
      <c r="E392" s="20"/>
      <c r="F392" s="20"/>
      <c r="G392" s="20"/>
      <c r="H39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2" s="21"/>
      <c r="J39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3" spans="1:12" x14ac:dyDescent="0.3">
      <c r="A393" s="20"/>
      <c r="B393" s="20"/>
      <c r="C393" s="20"/>
      <c r="D393" s="29"/>
      <c r="E393" s="20"/>
      <c r="F393" s="20"/>
      <c r="G393" s="20"/>
      <c r="H39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3" s="21"/>
      <c r="J39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4" spans="1:12" x14ac:dyDescent="0.3">
      <c r="A394" s="20"/>
      <c r="B394" s="20"/>
      <c r="C394" s="20"/>
      <c r="D394" s="29"/>
      <c r="E394" s="20"/>
      <c r="F394" s="20"/>
      <c r="G394" s="20"/>
      <c r="H39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4" s="21"/>
      <c r="J39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5" spans="1:12" x14ac:dyDescent="0.3">
      <c r="A395" s="20"/>
      <c r="B395" s="20"/>
      <c r="C395" s="20"/>
      <c r="D395" s="29"/>
      <c r="E395" s="20"/>
      <c r="F395" s="20"/>
      <c r="G395" s="20"/>
      <c r="H39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5" s="21"/>
      <c r="J39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6" spans="1:12" x14ac:dyDescent="0.3">
      <c r="A396" s="20"/>
      <c r="B396" s="20"/>
      <c r="C396" s="20"/>
      <c r="D396" s="29"/>
      <c r="E396" s="20"/>
      <c r="F396" s="20"/>
      <c r="G396" s="20"/>
      <c r="H39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6" s="21"/>
      <c r="J39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7" spans="1:12" x14ac:dyDescent="0.3">
      <c r="A397" s="20"/>
      <c r="B397" s="20"/>
      <c r="C397" s="20"/>
      <c r="D397" s="29"/>
      <c r="E397" s="20"/>
      <c r="F397" s="20"/>
      <c r="G397" s="20"/>
      <c r="H39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7" s="21"/>
      <c r="J39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8" spans="1:12" x14ac:dyDescent="0.3">
      <c r="A398" s="20"/>
      <c r="B398" s="20"/>
      <c r="C398" s="20"/>
      <c r="D398" s="29"/>
      <c r="E398" s="20"/>
      <c r="F398" s="20"/>
      <c r="G398" s="20"/>
      <c r="H39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8" s="21"/>
      <c r="J39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399" spans="1:12" x14ac:dyDescent="0.3">
      <c r="A399" s="20"/>
      <c r="B399" s="20"/>
      <c r="C399" s="20"/>
      <c r="D399" s="29"/>
      <c r="E399" s="20"/>
      <c r="F399" s="20"/>
      <c r="G399" s="20"/>
      <c r="H39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399" s="21"/>
      <c r="J39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39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39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0" spans="1:12" x14ac:dyDescent="0.3">
      <c r="A400" s="20"/>
      <c r="B400" s="20"/>
      <c r="C400" s="20"/>
      <c r="D400" s="29"/>
      <c r="E400" s="20"/>
      <c r="F400" s="20"/>
      <c r="G400" s="20"/>
      <c r="H40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0" s="21"/>
      <c r="J40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1" spans="1:12" x14ac:dyDescent="0.3">
      <c r="A401" s="20"/>
      <c r="B401" s="20"/>
      <c r="C401" s="20"/>
      <c r="D401" s="29"/>
      <c r="E401" s="20"/>
      <c r="F401" s="20"/>
      <c r="G401" s="20"/>
      <c r="H40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1" s="21"/>
      <c r="J40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2" spans="1:12" x14ac:dyDescent="0.3">
      <c r="A402" s="20"/>
      <c r="B402" s="20"/>
      <c r="C402" s="20"/>
      <c r="D402" s="29"/>
      <c r="E402" s="20"/>
      <c r="F402" s="20"/>
      <c r="G402" s="20"/>
      <c r="H40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2" s="21"/>
      <c r="J40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3" spans="1:12" x14ac:dyDescent="0.3">
      <c r="A403" s="20"/>
      <c r="B403" s="20"/>
      <c r="C403" s="20"/>
      <c r="D403" s="29"/>
      <c r="E403" s="20"/>
      <c r="F403" s="20"/>
      <c r="G403" s="20"/>
      <c r="H40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3" s="21"/>
      <c r="J40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4" spans="1:12" x14ac:dyDescent="0.3">
      <c r="A404" s="20"/>
      <c r="B404" s="20"/>
      <c r="C404" s="20"/>
      <c r="D404" s="29"/>
      <c r="E404" s="20"/>
      <c r="F404" s="20"/>
      <c r="G404" s="20"/>
      <c r="H40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4" s="21"/>
      <c r="J40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5" spans="1:12" x14ac:dyDescent="0.3">
      <c r="A405" s="20"/>
      <c r="B405" s="20"/>
      <c r="C405" s="20"/>
      <c r="D405" s="29"/>
      <c r="E405" s="20"/>
      <c r="F405" s="20"/>
      <c r="G405" s="20"/>
      <c r="H40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5" s="21"/>
      <c r="J40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6" spans="1:12" x14ac:dyDescent="0.3">
      <c r="A406" s="20"/>
      <c r="B406" s="20"/>
      <c r="C406" s="20"/>
      <c r="D406" s="29"/>
      <c r="E406" s="20"/>
      <c r="F406" s="20"/>
      <c r="G406" s="20"/>
      <c r="H40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6" s="21"/>
      <c r="J40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7" spans="1:12" x14ac:dyDescent="0.3">
      <c r="A407" s="20"/>
      <c r="B407" s="20"/>
      <c r="C407" s="20"/>
      <c r="D407" s="29"/>
      <c r="E407" s="20"/>
      <c r="F407" s="20"/>
      <c r="G407" s="20"/>
      <c r="H40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7" s="21"/>
      <c r="J40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8" spans="1:12" x14ac:dyDescent="0.3">
      <c r="A408" s="20"/>
      <c r="B408" s="20"/>
      <c r="C408" s="20"/>
      <c r="D408" s="29"/>
      <c r="E408" s="20"/>
      <c r="F408" s="20"/>
      <c r="G408" s="20"/>
      <c r="H40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8" s="21"/>
      <c r="J40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09" spans="1:12" x14ac:dyDescent="0.3">
      <c r="A409" s="20"/>
      <c r="B409" s="20"/>
      <c r="C409" s="20"/>
      <c r="D409" s="29"/>
      <c r="E409" s="20"/>
      <c r="F409" s="20"/>
      <c r="G409" s="20"/>
      <c r="H40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09" s="21"/>
      <c r="J40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0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0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0" spans="1:12" x14ac:dyDescent="0.3">
      <c r="A410" s="20"/>
      <c r="B410" s="20"/>
      <c r="C410" s="20"/>
      <c r="D410" s="29"/>
      <c r="E410" s="20"/>
      <c r="F410" s="20"/>
      <c r="G410" s="20"/>
      <c r="H41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0" s="21"/>
      <c r="J41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1" spans="1:12" x14ac:dyDescent="0.3">
      <c r="A411" s="20"/>
      <c r="B411" s="20"/>
      <c r="C411" s="20"/>
      <c r="D411" s="29"/>
      <c r="E411" s="20"/>
      <c r="F411" s="20"/>
      <c r="G411" s="20"/>
      <c r="H41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1" s="21"/>
      <c r="J41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2" spans="1:12" x14ac:dyDescent="0.3">
      <c r="A412" s="20"/>
      <c r="B412" s="20"/>
      <c r="C412" s="20"/>
      <c r="D412" s="29"/>
      <c r="E412" s="20"/>
      <c r="F412" s="20"/>
      <c r="G412" s="20"/>
      <c r="H41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2" s="21"/>
      <c r="J41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3" spans="1:12" x14ac:dyDescent="0.3">
      <c r="A413" s="20"/>
      <c r="B413" s="20"/>
      <c r="C413" s="20"/>
      <c r="D413" s="29"/>
      <c r="E413" s="20"/>
      <c r="F413" s="20"/>
      <c r="G413" s="20"/>
      <c r="H41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3" s="21"/>
      <c r="J41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4" spans="1:12" x14ac:dyDescent="0.3">
      <c r="A414" s="20"/>
      <c r="B414" s="20"/>
      <c r="C414" s="20"/>
      <c r="D414" s="29"/>
      <c r="E414" s="20"/>
      <c r="F414" s="20"/>
      <c r="G414" s="20"/>
      <c r="H41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4" s="21"/>
      <c r="J41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5" spans="1:12" x14ac:dyDescent="0.3">
      <c r="A415" s="20"/>
      <c r="B415" s="20"/>
      <c r="C415" s="20"/>
      <c r="D415" s="29"/>
      <c r="E415" s="20"/>
      <c r="F415" s="20"/>
      <c r="G415" s="20"/>
      <c r="H41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5" s="21"/>
      <c r="J41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6" spans="1:12" x14ac:dyDescent="0.3">
      <c r="A416" s="20"/>
      <c r="B416" s="20"/>
      <c r="C416" s="20"/>
      <c r="D416" s="29"/>
      <c r="E416" s="20"/>
      <c r="F416" s="20"/>
      <c r="G416" s="20"/>
      <c r="H41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6" s="21"/>
      <c r="J41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7" spans="1:12" x14ac:dyDescent="0.3">
      <c r="A417" s="20"/>
      <c r="B417" s="20"/>
      <c r="C417" s="20"/>
      <c r="D417" s="29"/>
      <c r="E417" s="20"/>
      <c r="F417" s="20"/>
      <c r="G417" s="20"/>
      <c r="H41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7" s="21"/>
      <c r="J41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8" spans="1:12" x14ac:dyDescent="0.3">
      <c r="A418" s="20"/>
      <c r="B418" s="20"/>
      <c r="C418" s="20"/>
      <c r="D418" s="29"/>
      <c r="E418" s="20"/>
      <c r="F418" s="20"/>
      <c r="G418" s="20"/>
      <c r="H41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8" s="21"/>
      <c r="J41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19" spans="1:12" x14ac:dyDescent="0.3">
      <c r="A419" s="20"/>
      <c r="B419" s="20"/>
      <c r="C419" s="20"/>
      <c r="D419" s="29"/>
      <c r="E419" s="20"/>
      <c r="F419" s="20"/>
      <c r="G419" s="20"/>
      <c r="H41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19" s="21"/>
      <c r="J41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1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1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0" spans="1:12" x14ac:dyDescent="0.3">
      <c r="A420" s="20"/>
      <c r="B420" s="20"/>
      <c r="C420" s="20"/>
      <c r="D420" s="29"/>
      <c r="E420" s="20"/>
      <c r="F420" s="20"/>
      <c r="G420" s="20"/>
      <c r="H42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0" s="21"/>
      <c r="J42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1" spans="1:12" x14ac:dyDescent="0.3">
      <c r="A421" s="20"/>
      <c r="B421" s="20"/>
      <c r="C421" s="20"/>
      <c r="D421" s="29"/>
      <c r="E421" s="20"/>
      <c r="F421" s="20"/>
      <c r="G421" s="20"/>
      <c r="H42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1" s="21"/>
      <c r="J42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2" spans="1:12" x14ac:dyDescent="0.3">
      <c r="A422" s="20"/>
      <c r="B422" s="20"/>
      <c r="C422" s="20"/>
      <c r="D422" s="29"/>
      <c r="E422" s="20"/>
      <c r="F422" s="20"/>
      <c r="G422" s="20"/>
      <c r="H42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2" s="21"/>
      <c r="J42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3" spans="1:12" x14ac:dyDescent="0.3">
      <c r="A423" s="20"/>
      <c r="B423" s="20"/>
      <c r="C423" s="20"/>
      <c r="D423" s="29"/>
      <c r="E423" s="20"/>
      <c r="F423" s="20"/>
      <c r="G423" s="20"/>
      <c r="H42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3" s="21"/>
      <c r="J42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4" spans="1:12" x14ac:dyDescent="0.3">
      <c r="A424" s="20"/>
      <c r="B424" s="20"/>
      <c r="C424" s="20"/>
      <c r="D424" s="29"/>
      <c r="E424" s="20"/>
      <c r="F424" s="20"/>
      <c r="G424" s="20"/>
      <c r="H42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4" s="21"/>
      <c r="J42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5" spans="1:12" x14ac:dyDescent="0.3">
      <c r="A425" s="20"/>
      <c r="B425" s="20"/>
      <c r="C425" s="20"/>
      <c r="D425" s="29"/>
      <c r="E425" s="20"/>
      <c r="F425" s="20"/>
      <c r="G425" s="20"/>
      <c r="H42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5" s="21"/>
      <c r="J42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6" spans="1:12" x14ac:dyDescent="0.3">
      <c r="A426" s="20"/>
      <c r="B426" s="20"/>
      <c r="C426" s="20"/>
      <c r="D426" s="29"/>
      <c r="E426" s="20"/>
      <c r="F426" s="20"/>
      <c r="G426" s="20"/>
      <c r="H42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6" s="21"/>
      <c r="J42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7" spans="1:12" x14ac:dyDescent="0.3">
      <c r="A427" s="20"/>
      <c r="B427" s="20"/>
      <c r="C427" s="20"/>
      <c r="D427" s="29"/>
      <c r="E427" s="20"/>
      <c r="F427" s="20"/>
      <c r="G427" s="20"/>
      <c r="H42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7" s="21"/>
      <c r="J42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8" spans="1:12" x14ac:dyDescent="0.3">
      <c r="A428" s="20"/>
      <c r="B428" s="20"/>
      <c r="C428" s="20"/>
      <c r="D428" s="29"/>
      <c r="E428" s="20"/>
      <c r="F428" s="20"/>
      <c r="G428" s="20"/>
      <c r="H42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8" s="21"/>
      <c r="J42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29" spans="1:12" x14ac:dyDescent="0.3">
      <c r="A429" s="20"/>
      <c r="B429" s="20"/>
      <c r="C429" s="20"/>
      <c r="D429" s="29"/>
      <c r="E429" s="20"/>
      <c r="F429" s="20"/>
      <c r="G429" s="20"/>
      <c r="H42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29" s="21"/>
      <c r="J42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2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2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0" spans="1:12" x14ac:dyDescent="0.3">
      <c r="A430" s="20"/>
      <c r="B430" s="20"/>
      <c r="C430" s="20"/>
      <c r="D430" s="29"/>
      <c r="E430" s="20"/>
      <c r="F430" s="20"/>
      <c r="G430" s="20"/>
      <c r="H43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0" s="21"/>
      <c r="J43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1" spans="1:12" x14ac:dyDescent="0.3">
      <c r="A431" s="20"/>
      <c r="B431" s="20"/>
      <c r="C431" s="20"/>
      <c r="D431" s="29"/>
      <c r="E431" s="20"/>
      <c r="F431" s="20"/>
      <c r="G431" s="20"/>
      <c r="H43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1" s="21"/>
      <c r="J43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2" spans="1:12" x14ac:dyDescent="0.3">
      <c r="A432" s="20"/>
      <c r="B432" s="20"/>
      <c r="C432" s="20"/>
      <c r="D432" s="29"/>
      <c r="E432" s="20"/>
      <c r="F432" s="20"/>
      <c r="G432" s="20"/>
      <c r="H43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2" s="21"/>
      <c r="J43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3" spans="1:12" x14ac:dyDescent="0.3">
      <c r="A433" s="20"/>
      <c r="B433" s="20"/>
      <c r="C433" s="20"/>
      <c r="D433" s="29"/>
      <c r="E433" s="20"/>
      <c r="F433" s="20"/>
      <c r="G433" s="20"/>
      <c r="H43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3" s="21"/>
      <c r="J43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4" spans="1:12" x14ac:dyDescent="0.3">
      <c r="A434" s="20"/>
      <c r="B434" s="20"/>
      <c r="C434" s="20"/>
      <c r="D434" s="29"/>
      <c r="E434" s="20"/>
      <c r="F434" s="20"/>
      <c r="G434" s="20"/>
      <c r="H43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4" s="21"/>
      <c r="J43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5" spans="1:12" x14ac:dyDescent="0.3">
      <c r="A435" s="20"/>
      <c r="B435" s="20"/>
      <c r="C435" s="20"/>
      <c r="D435" s="29"/>
      <c r="E435" s="20"/>
      <c r="F435" s="20"/>
      <c r="G435" s="20"/>
      <c r="H43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5" s="21"/>
      <c r="J43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6" spans="1:12" x14ac:dyDescent="0.3">
      <c r="A436" s="20"/>
      <c r="B436" s="20"/>
      <c r="C436" s="20"/>
      <c r="D436" s="29"/>
      <c r="E436" s="20"/>
      <c r="F436" s="20"/>
      <c r="G436" s="20"/>
      <c r="H43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6" s="21"/>
      <c r="J43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7" spans="1:12" x14ac:dyDescent="0.3">
      <c r="A437" s="20"/>
      <c r="B437" s="20"/>
      <c r="C437" s="20"/>
      <c r="D437" s="29"/>
      <c r="E437" s="20"/>
      <c r="F437" s="20"/>
      <c r="G437" s="20"/>
      <c r="H43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7" s="21"/>
      <c r="J43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8" spans="1:12" x14ac:dyDescent="0.3">
      <c r="A438" s="20"/>
      <c r="B438" s="20"/>
      <c r="C438" s="20"/>
      <c r="D438" s="29"/>
      <c r="E438" s="20"/>
      <c r="F438" s="20"/>
      <c r="G438" s="20"/>
      <c r="H43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8" s="21"/>
      <c r="J43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39" spans="1:12" x14ac:dyDescent="0.3">
      <c r="A439" s="20"/>
      <c r="B439" s="20"/>
      <c r="C439" s="20"/>
      <c r="D439" s="29"/>
      <c r="E439" s="20"/>
      <c r="F439" s="20"/>
      <c r="G439" s="20"/>
      <c r="H43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39" s="21"/>
      <c r="J43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3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3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0" spans="1:12" x14ac:dyDescent="0.3">
      <c r="A440" s="20"/>
      <c r="B440" s="20"/>
      <c r="C440" s="20"/>
      <c r="D440" s="29"/>
      <c r="E440" s="20"/>
      <c r="F440" s="20"/>
      <c r="G440" s="20"/>
      <c r="H44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0" s="21"/>
      <c r="J44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1" spans="1:12" x14ac:dyDescent="0.3">
      <c r="A441" s="20"/>
      <c r="B441" s="20"/>
      <c r="C441" s="20"/>
      <c r="D441" s="29"/>
      <c r="E441" s="20"/>
      <c r="F441" s="20"/>
      <c r="G441" s="20"/>
      <c r="H44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1" s="21"/>
      <c r="J44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2" spans="1:12" x14ac:dyDescent="0.3">
      <c r="A442" s="20"/>
      <c r="B442" s="20"/>
      <c r="C442" s="20"/>
      <c r="D442" s="29"/>
      <c r="E442" s="20"/>
      <c r="F442" s="20"/>
      <c r="G442" s="20"/>
      <c r="H44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2" s="21"/>
      <c r="J44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3" spans="1:12" x14ac:dyDescent="0.3">
      <c r="A443" s="20"/>
      <c r="B443" s="20"/>
      <c r="C443" s="20"/>
      <c r="D443" s="29"/>
      <c r="E443" s="20"/>
      <c r="F443" s="20"/>
      <c r="G443" s="20"/>
      <c r="H44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3" s="21"/>
      <c r="J44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4" spans="1:12" x14ac:dyDescent="0.3">
      <c r="A444" s="20"/>
      <c r="B444" s="20"/>
      <c r="C444" s="20"/>
      <c r="D444" s="29"/>
      <c r="E444" s="20"/>
      <c r="F444" s="20"/>
      <c r="G444" s="20"/>
      <c r="H44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4" s="21"/>
      <c r="J44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5" spans="1:12" x14ac:dyDescent="0.3">
      <c r="A445" s="20"/>
      <c r="B445" s="20"/>
      <c r="C445" s="20"/>
      <c r="D445" s="29"/>
      <c r="E445" s="20"/>
      <c r="F445" s="20"/>
      <c r="G445" s="20"/>
      <c r="H44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5" s="21"/>
      <c r="J44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6" spans="1:12" x14ac:dyDescent="0.3">
      <c r="A446" s="20"/>
      <c r="B446" s="20"/>
      <c r="C446" s="20"/>
      <c r="D446" s="29"/>
      <c r="E446" s="20"/>
      <c r="F446" s="20"/>
      <c r="G446" s="20"/>
      <c r="H44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6" s="21"/>
      <c r="J44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7" spans="1:12" x14ac:dyDescent="0.3">
      <c r="A447" s="20"/>
      <c r="B447" s="20"/>
      <c r="C447" s="20"/>
      <c r="D447" s="29"/>
      <c r="E447" s="20"/>
      <c r="F447" s="20"/>
      <c r="G447" s="20"/>
      <c r="H44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7" s="21"/>
      <c r="J44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8" spans="1:12" x14ac:dyDescent="0.3">
      <c r="A448" s="20"/>
      <c r="B448" s="20"/>
      <c r="C448" s="20"/>
      <c r="D448" s="29"/>
      <c r="E448" s="20"/>
      <c r="F448" s="20"/>
      <c r="G448" s="20"/>
      <c r="H44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8" s="21"/>
      <c r="J44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49" spans="1:12" x14ac:dyDescent="0.3">
      <c r="A449" s="20"/>
      <c r="B449" s="20"/>
      <c r="C449" s="20"/>
      <c r="D449" s="29"/>
      <c r="E449" s="20"/>
      <c r="F449" s="20"/>
      <c r="G449" s="20"/>
      <c r="H44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49" s="21"/>
      <c r="J44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4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4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0" spans="1:12" x14ac:dyDescent="0.3">
      <c r="A450" s="20"/>
      <c r="B450" s="20"/>
      <c r="C450" s="20"/>
      <c r="D450" s="29"/>
      <c r="E450" s="20"/>
      <c r="F450" s="20"/>
      <c r="G450" s="20"/>
      <c r="H45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0" s="21"/>
      <c r="J45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1" spans="1:12" x14ac:dyDescent="0.3">
      <c r="A451" s="20"/>
      <c r="B451" s="20"/>
      <c r="C451" s="20"/>
      <c r="D451" s="29"/>
      <c r="E451" s="20"/>
      <c r="F451" s="20"/>
      <c r="G451" s="20"/>
      <c r="H45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1" s="21"/>
      <c r="J45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2" spans="1:12" x14ac:dyDescent="0.3">
      <c r="A452" s="20"/>
      <c r="B452" s="20"/>
      <c r="C452" s="20"/>
      <c r="D452" s="29"/>
      <c r="E452" s="20"/>
      <c r="F452" s="20"/>
      <c r="G452" s="20"/>
      <c r="H45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2" s="21"/>
      <c r="J45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3" spans="1:12" x14ac:dyDescent="0.3">
      <c r="A453" s="20"/>
      <c r="B453" s="20"/>
      <c r="C453" s="20"/>
      <c r="D453" s="29"/>
      <c r="E453" s="20"/>
      <c r="F453" s="20"/>
      <c r="G453" s="20"/>
      <c r="H45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3" s="21"/>
      <c r="J45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4" spans="1:12" x14ac:dyDescent="0.3">
      <c r="A454" s="20"/>
      <c r="B454" s="20"/>
      <c r="C454" s="20"/>
      <c r="D454" s="29"/>
      <c r="E454" s="20"/>
      <c r="F454" s="20"/>
      <c r="G454" s="20"/>
      <c r="H45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4" s="21"/>
      <c r="J45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5" spans="1:12" x14ac:dyDescent="0.3">
      <c r="A455" s="20"/>
      <c r="B455" s="20"/>
      <c r="C455" s="20"/>
      <c r="D455" s="29"/>
      <c r="E455" s="20"/>
      <c r="F455" s="20"/>
      <c r="G455" s="20"/>
      <c r="H45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5" s="21"/>
      <c r="J45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6" spans="1:12" x14ac:dyDescent="0.3">
      <c r="A456" s="20"/>
      <c r="B456" s="20"/>
      <c r="C456" s="20"/>
      <c r="D456" s="29"/>
      <c r="E456" s="20"/>
      <c r="F456" s="20"/>
      <c r="G456" s="20"/>
      <c r="H45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6" s="21"/>
      <c r="J45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7" spans="1:12" x14ac:dyDescent="0.3">
      <c r="A457" s="20"/>
      <c r="B457" s="20"/>
      <c r="C457" s="20"/>
      <c r="D457" s="29"/>
      <c r="E457" s="20"/>
      <c r="F457" s="20"/>
      <c r="G457" s="20"/>
      <c r="H45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7" s="21"/>
      <c r="J45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8" spans="1:12" x14ac:dyDescent="0.3">
      <c r="A458" s="20"/>
      <c r="B458" s="20"/>
      <c r="C458" s="20"/>
      <c r="D458" s="29"/>
      <c r="E458" s="20"/>
      <c r="F458" s="20"/>
      <c r="G458" s="20"/>
      <c r="H45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8" s="21"/>
      <c r="J45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59" spans="1:12" x14ac:dyDescent="0.3">
      <c r="A459" s="20"/>
      <c r="B459" s="20"/>
      <c r="C459" s="20"/>
      <c r="D459" s="29"/>
      <c r="E459" s="20"/>
      <c r="F459" s="20"/>
      <c r="G459" s="20"/>
      <c r="H45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59" s="21"/>
      <c r="J45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5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5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0" spans="1:12" x14ac:dyDescent="0.3">
      <c r="A460" s="20"/>
      <c r="B460" s="20"/>
      <c r="C460" s="20"/>
      <c r="D460" s="29"/>
      <c r="E460" s="20"/>
      <c r="F460" s="20"/>
      <c r="G460" s="20"/>
      <c r="H46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0" s="21"/>
      <c r="J46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1" spans="1:12" x14ac:dyDescent="0.3">
      <c r="A461" s="20"/>
      <c r="B461" s="20"/>
      <c r="C461" s="20"/>
      <c r="D461" s="29"/>
      <c r="E461" s="20"/>
      <c r="F461" s="20"/>
      <c r="G461" s="20"/>
      <c r="H46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1" s="21"/>
      <c r="J46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2" spans="1:12" x14ac:dyDescent="0.3">
      <c r="A462" s="20"/>
      <c r="B462" s="20"/>
      <c r="C462" s="20"/>
      <c r="D462" s="29"/>
      <c r="E462" s="20"/>
      <c r="F462" s="20"/>
      <c r="G462" s="20"/>
      <c r="H46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2" s="21"/>
      <c r="J46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3" spans="1:12" x14ac:dyDescent="0.3">
      <c r="A463" s="20"/>
      <c r="B463" s="20"/>
      <c r="C463" s="20"/>
      <c r="D463" s="29"/>
      <c r="E463" s="20"/>
      <c r="F463" s="20"/>
      <c r="G463" s="20"/>
      <c r="H46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3" s="21"/>
      <c r="J46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4" spans="1:12" x14ac:dyDescent="0.3">
      <c r="A464" s="20"/>
      <c r="B464" s="20"/>
      <c r="C464" s="20"/>
      <c r="D464" s="29"/>
      <c r="E464" s="20"/>
      <c r="F464" s="20"/>
      <c r="G464" s="20"/>
      <c r="H46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4" s="21"/>
      <c r="J46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5" spans="1:12" x14ac:dyDescent="0.3">
      <c r="A465" s="20"/>
      <c r="B465" s="20"/>
      <c r="C465" s="20"/>
      <c r="D465" s="29"/>
      <c r="E465" s="20"/>
      <c r="F465" s="20"/>
      <c r="G465" s="20"/>
      <c r="H46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5" s="21"/>
      <c r="J46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6" spans="1:12" x14ac:dyDescent="0.3">
      <c r="A466" s="20"/>
      <c r="B466" s="20"/>
      <c r="C466" s="20"/>
      <c r="D466" s="29"/>
      <c r="E466" s="20"/>
      <c r="F466" s="20"/>
      <c r="G466" s="20"/>
      <c r="H46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6" s="21"/>
      <c r="J46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7" spans="1:12" x14ac:dyDescent="0.3">
      <c r="A467" s="20"/>
      <c r="B467" s="20"/>
      <c r="C467" s="20"/>
      <c r="D467" s="29"/>
      <c r="E467" s="20"/>
      <c r="F467" s="20"/>
      <c r="G467" s="20"/>
      <c r="H46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7" s="21"/>
      <c r="J46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8" spans="1:12" x14ac:dyDescent="0.3">
      <c r="A468" s="20"/>
      <c r="B468" s="20"/>
      <c r="C468" s="20"/>
      <c r="D468" s="29"/>
      <c r="E468" s="20"/>
      <c r="F468" s="20"/>
      <c r="G468" s="20"/>
      <c r="H46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8" s="21"/>
      <c r="J46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69" spans="1:12" x14ac:dyDescent="0.3">
      <c r="A469" s="20"/>
      <c r="B469" s="20"/>
      <c r="C469" s="20"/>
      <c r="D469" s="29"/>
      <c r="E469" s="20"/>
      <c r="F469" s="20"/>
      <c r="G469" s="20"/>
      <c r="H46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69" s="21"/>
      <c r="J46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6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6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0" spans="1:12" x14ac:dyDescent="0.3">
      <c r="A470" s="20"/>
      <c r="B470" s="20"/>
      <c r="C470" s="20"/>
      <c r="D470" s="29"/>
      <c r="E470" s="20"/>
      <c r="F470" s="20"/>
      <c r="G470" s="20"/>
      <c r="H47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0" s="21"/>
      <c r="J47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1" spans="1:12" x14ac:dyDescent="0.3">
      <c r="A471" s="20"/>
      <c r="B471" s="20"/>
      <c r="C471" s="20"/>
      <c r="D471" s="29"/>
      <c r="E471" s="20"/>
      <c r="F471" s="20"/>
      <c r="G471" s="20"/>
      <c r="H47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1" s="21"/>
      <c r="J47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2" spans="1:12" x14ac:dyDescent="0.3">
      <c r="A472" s="20"/>
      <c r="B472" s="20"/>
      <c r="C472" s="20"/>
      <c r="D472" s="29"/>
      <c r="E472" s="20"/>
      <c r="F472" s="20"/>
      <c r="G472" s="20"/>
      <c r="H47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2" s="21"/>
      <c r="J47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3" spans="1:12" x14ac:dyDescent="0.3">
      <c r="A473" s="20"/>
      <c r="B473" s="20"/>
      <c r="C473" s="20"/>
      <c r="D473" s="29"/>
      <c r="E473" s="20"/>
      <c r="F473" s="20"/>
      <c r="G473" s="20"/>
      <c r="H47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3" s="21"/>
      <c r="J47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4" spans="1:12" x14ac:dyDescent="0.3">
      <c r="A474" s="20"/>
      <c r="B474" s="20"/>
      <c r="C474" s="20"/>
      <c r="D474" s="29"/>
      <c r="E474" s="20"/>
      <c r="F474" s="20"/>
      <c r="G474" s="20"/>
      <c r="H47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4" s="21"/>
      <c r="J47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5" spans="1:12" x14ac:dyDescent="0.3">
      <c r="A475" s="20"/>
      <c r="B475" s="20"/>
      <c r="C475" s="20"/>
      <c r="D475" s="29"/>
      <c r="E475" s="20"/>
      <c r="F475" s="20"/>
      <c r="G475" s="20"/>
      <c r="H47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5" s="21"/>
      <c r="J47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6" spans="1:12" x14ac:dyDescent="0.3">
      <c r="A476" s="20"/>
      <c r="B476" s="20"/>
      <c r="C476" s="20"/>
      <c r="D476" s="29"/>
      <c r="E476" s="20"/>
      <c r="F476" s="20"/>
      <c r="G476" s="20"/>
      <c r="H47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6" s="21"/>
      <c r="J47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7" spans="1:12" x14ac:dyDescent="0.3">
      <c r="A477" s="20"/>
      <c r="B477" s="20"/>
      <c r="C477" s="20"/>
      <c r="D477" s="29"/>
      <c r="E477" s="20"/>
      <c r="F477" s="20"/>
      <c r="G477" s="20"/>
      <c r="H47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7" s="21"/>
      <c r="J47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8" spans="1:12" x14ac:dyDescent="0.3">
      <c r="A478" s="20"/>
      <c r="B478" s="20"/>
      <c r="C478" s="20"/>
      <c r="D478" s="29"/>
      <c r="E478" s="20"/>
      <c r="F478" s="20"/>
      <c r="G478" s="20"/>
      <c r="H47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8" s="21"/>
      <c r="J47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79" spans="1:12" x14ac:dyDescent="0.3">
      <c r="A479" s="20"/>
      <c r="B479" s="20"/>
      <c r="C479" s="20"/>
      <c r="D479" s="29"/>
      <c r="E479" s="20"/>
      <c r="F479" s="20"/>
      <c r="G479" s="20"/>
      <c r="H47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79" s="21"/>
      <c r="J47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7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7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0" spans="1:12" x14ac:dyDescent="0.3">
      <c r="A480" s="20"/>
      <c r="B480" s="20"/>
      <c r="C480" s="20"/>
      <c r="D480" s="29"/>
      <c r="E480" s="20"/>
      <c r="F480" s="20"/>
      <c r="G480" s="20"/>
      <c r="H48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0" s="21"/>
      <c r="J48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1" spans="1:12" x14ac:dyDescent="0.3">
      <c r="A481" s="20"/>
      <c r="B481" s="20"/>
      <c r="C481" s="20"/>
      <c r="D481" s="29"/>
      <c r="E481" s="20"/>
      <c r="F481" s="20"/>
      <c r="G481" s="20"/>
      <c r="H48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1" s="21"/>
      <c r="J48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2" spans="1:12" x14ac:dyDescent="0.3">
      <c r="A482" s="20"/>
      <c r="B482" s="20"/>
      <c r="C482" s="20"/>
      <c r="D482" s="29"/>
      <c r="E482" s="20"/>
      <c r="F482" s="20"/>
      <c r="G482" s="20"/>
      <c r="H48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2" s="21"/>
      <c r="J48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3" spans="1:12" x14ac:dyDescent="0.3">
      <c r="A483" s="20"/>
      <c r="B483" s="20"/>
      <c r="C483" s="20"/>
      <c r="D483" s="29"/>
      <c r="E483" s="20"/>
      <c r="F483" s="20"/>
      <c r="G483" s="20"/>
      <c r="H48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3" s="21"/>
      <c r="J48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4" spans="1:12" x14ac:dyDescent="0.3">
      <c r="A484" s="20"/>
      <c r="B484" s="20"/>
      <c r="C484" s="20"/>
      <c r="D484" s="29"/>
      <c r="E484" s="20"/>
      <c r="F484" s="20"/>
      <c r="G484" s="20"/>
      <c r="H48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4" s="21"/>
      <c r="J48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5" spans="1:12" x14ac:dyDescent="0.3">
      <c r="A485" s="20"/>
      <c r="B485" s="20"/>
      <c r="C485" s="20"/>
      <c r="D485" s="29"/>
      <c r="E485" s="20"/>
      <c r="F485" s="20"/>
      <c r="G485" s="20"/>
      <c r="H48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5" s="21"/>
      <c r="J48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6" spans="1:12" x14ac:dyDescent="0.3">
      <c r="A486" s="20"/>
      <c r="B486" s="20"/>
      <c r="C486" s="20"/>
      <c r="D486" s="29"/>
      <c r="E486" s="20"/>
      <c r="F486" s="20"/>
      <c r="G486" s="20"/>
      <c r="H48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6" s="21"/>
      <c r="J48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7" spans="1:12" x14ac:dyDescent="0.3">
      <c r="A487" s="20"/>
      <c r="B487" s="20"/>
      <c r="C487" s="20"/>
      <c r="D487" s="29"/>
      <c r="E487" s="20"/>
      <c r="F487" s="20"/>
      <c r="G487" s="20"/>
      <c r="H48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7" s="21"/>
      <c r="J48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8" spans="1:12" x14ac:dyDescent="0.3">
      <c r="A488" s="20"/>
      <c r="B488" s="20"/>
      <c r="C488" s="20"/>
      <c r="D488" s="29"/>
      <c r="E488" s="20"/>
      <c r="F488" s="20"/>
      <c r="G488" s="20"/>
      <c r="H48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8" s="21"/>
      <c r="J48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89" spans="1:12" x14ac:dyDescent="0.3">
      <c r="A489" s="20"/>
      <c r="B489" s="20"/>
      <c r="C489" s="20"/>
      <c r="D489" s="29"/>
      <c r="E489" s="20"/>
      <c r="F489" s="20"/>
      <c r="G489" s="20"/>
      <c r="H48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89" s="21"/>
      <c r="J48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8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8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0" spans="1:12" x14ac:dyDescent="0.3">
      <c r="A490" s="20"/>
      <c r="B490" s="20"/>
      <c r="C490" s="20"/>
      <c r="D490" s="29"/>
      <c r="E490" s="20"/>
      <c r="F490" s="20"/>
      <c r="G490" s="20"/>
      <c r="H49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0" s="21"/>
      <c r="J49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1" spans="1:12" x14ac:dyDescent="0.3">
      <c r="A491" s="20"/>
      <c r="B491" s="20"/>
      <c r="C491" s="20"/>
      <c r="D491" s="29"/>
      <c r="E491" s="20"/>
      <c r="F491" s="20"/>
      <c r="G491" s="20"/>
      <c r="H49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1" s="21"/>
      <c r="J49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2" spans="1:12" x14ac:dyDescent="0.3">
      <c r="A492" s="20"/>
      <c r="B492" s="20"/>
      <c r="C492" s="20"/>
      <c r="D492" s="29"/>
      <c r="E492" s="20"/>
      <c r="F492" s="20"/>
      <c r="G492" s="20"/>
      <c r="H49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2" s="21"/>
      <c r="J49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3" spans="1:12" x14ac:dyDescent="0.3">
      <c r="A493" s="20"/>
      <c r="B493" s="20"/>
      <c r="C493" s="20"/>
      <c r="D493" s="29"/>
      <c r="E493" s="20"/>
      <c r="F493" s="20"/>
      <c r="G493" s="20"/>
      <c r="H49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3" s="21"/>
      <c r="J49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4" spans="1:12" x14ac:dyDescent="0.3">
      <c r="A494" s="20"/>
      <c r="B494" s="20"/>
      <c r="C494" s="20"/>
      <c r="D494" s="29"/>
      <c r="E494" s="20"/>
      <c r="F494" s="20"/>
      <c r="G494" s="20"/>
      <c r="H49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4" s="21"/>
      <c r="J49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5" spans="1:12" x14ac:dyDescent="0.3">
      <c r="A495" s="20"/>
      <c r="B495" s="20"/>
      <c r="C495" s="20"/>
      <c r="D495" s="29"/>
      <c r="E495" s="20"/>
      <c r="F495" s="20"/>
      <c r="G495" s="20"/>
      <c r="H49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5" s="21"/>
      <c r="J49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6" spans="1:12" x14ac:dyDescent="0.3">
      <c r="A496" s="20"/>
      <c r="B496" s="20"/>
      <c r="C496" s="20"/>
      <c r="D496" s="29"/>
      <c r="E496" s="20"/>
      <c r="F496" s="20"/>
      <c r="G496" s="20"/>
      <c r="H49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6" s="21"/>
      <c r="J49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7" spans="1:12" x14ac:dyDescent="0.3">
      <c r="A497" s="20"/>
      <c r="B497" s="20"/>
      <c r="C497" s="20"/>
      <c r="D497" s="29"/>
      <c r="E497" s="20"/>
      <c r="F497" s="20"/>
      <c r="G497" s="20"/>
      <c r="H49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7" s="21"/>
      <c r="J49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8" spans="1:12" x14ac:dyDescent="0.3">
      <c r="A498" s="20"/>
      <c r="B498" s="20"/>
      <c r="C498" s="20"/>
      <c r="D498" s="29"/>
      <c r="E498" s="20"/>
      <c r="F498" s="20"/>
      <c r="G498" s="20"/>
      <c r="H49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8" s="21"/>
      <c r="J49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499" spans="1:12" x14ac:dyDescent="0.3">
      <c r="A499" s="20"/>
      <c r="B499" s="20"/>
      <c r="C499" s="20"/>
      <c r="D499" s="29"/>
      <c r="E499" s="20"/>
      <c r="F499" s="20"/>
      <c r="G499" s="20"/>
      <c r="H49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499" s="21"/>
      <c r="J49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49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49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0" spans="1:12" x14ac:dyDescent="0.3">
      <c r="A500" s="20"/>
      <c r="B500" s="20"/>
      <c r="C500" s="20"/>
      <c r="D500" s="29"/>
      <c r="E500" s="20"/>
      <c r="F500" s="20"/>
      <c r="G500" s="20"/>
      <c r="H50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0" s="21"/>
      <c r="J50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1" spans="1:12" x14ac:dyDescent="0.3">
      <c r="A501" s="20"/>
      <c r="B501" s="20"/>
      <c r="C501" s="20"/>
      <c r="D501" s="29"/>
      <c r="E501" s="20"/>
      <c r="F501" s="20"/>
      <c r="G501" s="20"/>
      <c r="H50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1" s="21"/>
      <c r="J50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2" spans="1:12" x14ac:dyDescent="0.3">
      <c r="A502" s="20"/>
      <c r="B502" s="20"/>
      <c r="C502" s="20"/>
      <c r="D502" s="29"/>
      <c r="E502" s="20"/>
      <c r="F502" s="20"/>
      <c r="G502" s="20"/>
      <c r="H50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2" s="21"/>
      <c r="J50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3" spans="1:12" x14ac:dyDescent="0.3">
      <c r="A503" s="20"/>
      <c r="B503" s="20"/>
      <c r="C503" s="20"/>
      <c r="D503" s="29"/>
      <c r="E503" s="20"/>
      <c r="F503" s="20"/>
      <c r="G503" s="20"/>
      <c r="H50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3" s="21"/>
      <c r="J50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4" spans="1:12" x14ac:dyDescent="0.3">
      <c r="A504" s="20"/>
      <c r="B504" s="20"/>
      <c r="C504" s="20"/>
      <c r="D504" s="29"/>
      <c r="E504" s="20"/>
      <c r="F504" s="20"/>
      <c r="G504" s="20"/>
      <c r="H50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4" s="21"/>
      <c r="J50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5" spans="1:12" x14ac:dyDescent="0.3">
      <c r="A505" s="20"/>
      <c r="B505" s="20"/>
      <c r="C505" s="20"/>
      <c r="D505" s="29"/>
      <c r="E505" s="20"/>
      <c r="F505" s="20"/>
      <c r="G505" s="20"/>
      <c r="H50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5" s="21"/>
      <c r="J50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6" spans="1:12" x14ac:dyDescent="0.3">
      <c r="A506" s="20"/>
      <c r="B506" s="20"/>
      <c r="C506" s="20"/>
      <c r="D506" s="29"/>
      <c r="E506" s="20"/>
      <c r="F506" s="20"/>
      <c r="G506" s="20"/>
      <c r="H50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6" s="21"/>
      <c r="J50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7" spans="1:12" x14ac:dyDescent="0.3">
      <c r="A507" s="20"/>
      <c r="B507" s="20"/>
      <c r="C507" s="20"/>
      <c r="D507" s="29"/>
      <c r="E507" s="20"/>
      <c r="F507" s="20"/>
      <c r="G507" s="20"/>
      <c r="H50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7" s="21"/>
      <c r="J50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8" spans="1:12" x14ac:dyDescent="0.3">
      <c r="A508" s="20"/>
      <c r="B508" s="20"/>
      <c r="C508" s="20"/>
      <c r="D508" s="29"/>
      <c r="E508" s="20"/>
      <c r="F508" s="20"/>
      <c r="G508" s="20"/>
      <c r="H50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8" s="21"/>
      <c r="J50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09" spans="1:12" x14ac:dyDescent="0.3">
      <c r="A509" s="20"/>
      <c r="B509" s="20"/>
      <c r="C509" s="20"/>
      <c r="D509" s="29"/>
      <c r="E509" s="20"/>
      <c r="F509" s="20"/>
      <c r="G509" s="20"/>
      <c r="H50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09" s="21"/>
      <c r="J50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0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0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0" spans="1:12" x14ac:dyDescent="0.3">
      <c r="A510" s="20"/>
      <c r="B510" s="20"/>
      <c r="C510" s="20"/>
      <c r="D510" s="29"/>
      <c r="E510" s="20"/>
      <c r="F510" s="20"/>
      <c r="G510" s="20"/>
      <c r="H51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0" s="21"/>
      <c r="J51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1" spans="1:12" x14ac:dyDescent="0.3">
      <c r="A511" s="20"/>
      <c r="B511" s="20"/>
      <c r="C511" s="20"/>
      <c r="D511" s="29"/>
      <c r="E511" s="20"/>
      <c r="F511" s="20"/>
      <c r="G511" s="20"/>
      <c r="H51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1" s="21"/>
      <c r="J51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2" spans="1:12" x14ac:dyDescent="0.3">
      <c r="A512" s="20"/>
      <c r="B512" s="20"/>
      <c r="C512" s="20"/>
      <c r="D512" s="29"/>
      <c r="E512" s="20"/>
      <c r="F512" s="20"/>
      <c r="G512" s="20"/>
      <c r="H51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2" s="21"/>
      <c r="J51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3" spans="1:12" x14ac:dyDescent="0.3">
      <c r="A513" s="20"/>
      <c r="B513" s="20"/>
      <c r="C513" s="20"/>
      <c r="D513" s="29"/>
      <c r="E513" s="20"/>
      <c r="F513" s="20"/>
      <c r="G513" s="20"/>
      <c r="H51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3" s="21"/>
      <c r="J51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4" spans="1:12" x14ac:dyDescent="0.3">
      <c r="A514" s="20"/>
      <c r="B514" s="20"/>
      <c r="C514" s="20"/>
      <c r="D514" s="29"/>
      <c r="E514" s="20"/>
      <c r="F514" s="20"/>
      <c r="G514" s="20"/>
      <c r="H51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4" s="21"/>
      <c r="J51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5" spans="1:12" x14ac:dyDescent="0.3">
      <c r="A515" s="20"/>
      <c r="B515" s="20"/>
      <c r="C515" s="20"/>
      <c r="D515" s="29"/>
      <c r="E515" s="20"/>
      <c r="F515" s="20"/>
      <c r="G515" s="20"/>
      <c r="H51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5" s="21"/>
      <c r="J51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6" spans="1:12" x14ac:dyDescent="0.3">
      <c r="A516" s="20"/>
      <c r="B516" s="20"/>
      <c r="C516" s="20"/>
      <c r="D516" s="29"/>
      <c r="E516" s="20"/>
      <c r="F516" s="20"/>
      <c r="G516" s="20"/>
      <c r="H51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6" s="21"/>
      <c r="J51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7" spans="1:12" x14ac:dyDescent="0.3">
      <c r="A517" s="20"/>
      <c r="B517" s="20"/>
      <c r="C517" s="20"/>
      <c r="D517" s="29"/>
      <c r="E517" s="20"/>
      <c r="F517" s="20"/>
      <c r="G517" s="20"/>
      <c r="H51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7" s="21"/>
      <c r="J51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8" spans="1:12" x14ac:dyDescent="0.3">
      <c r="A518" s="20"/>
      <c r="B518" s="20"/>
      <c r="C518" s="20"/>
      <c r="D518" s="29"/>
      <c r="E518" s="20"/>
      <c r="F518" s="20"/>
      <c r="G518" s="20"/>
      <c r="H51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8" s="21"/>
      <c r="J51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19" spans="1:12" x14ac:dyDescent="0.3">
      <c r="A519" s="20"/>
      <c r="B519" s="20"/>
      <c r="C519" s="20"/>
      <c r="D519" s="29"/>
      <c r="E519" s="20"/>
      <c r="F519" s="20"/>
      <c r="G519" s="20"/>
      <c r="H51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19" s="21"/>
      <c r="J51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1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1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0" spans="1:12" x14ac:dyDescent="0.3">
      <c r="A520" s="20"/>
      <c r="B520" s="20"/>
      <c r="C520" s="20"/>
      <c r="D520" s="29"/>
      <c r="E520" s="20"/>
      <c r="F520" s="20"/>
      <c r="G520" s="20"/>
      <c r="H52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0" s="21"/>
      <c r="J52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1" spans="1:12" x14ac:dyDescent="0.3">
      <c r="A521" s="20"/>
      <c r="B521" s="20"/>
      <c r="C521" s="20"/>
      <c r="D521" s="29"/>
      <c r="E521" s="20"/>
      <c r="F521" s="20"/>
      <c r="G521" s="20"/>
      <c r="H52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1" s="21"/>
      <c r="J52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2" spans="1:12" x14ac:dyDescent="0.3">
      <c r="A522" s="20"/>
      <c r="B522" s="20"/>
      <c r="C522" s="20"/>
      <c r="D522" s="29"/>
      <c r="E522" s="20"/>
      <c r="F522" s="20"/>
      <c r="G522" s="20"/>
      <c r="H52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2" s="21"/>
      <c r="J52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3" spans="1:12" x14ac:dyDescent="0.3">
      <c r="A523" s="20"/>
      <c r="B523" s="20"/>
      <c r="C523" s="20"/>
      <c r="D523" s="29"/>
      <c r="E523" s="20"/>
      <c r="F523" s="20"/>
      <c r="G523" s="20"/>
      <c r="H52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3" s="21"/>
      <c r="J52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4" spans="1:12" x14ac:dyDescent="0.3">
      <c r="A524" s="20"/>
      <c r="B524" s="20"/>
      <c r="C524" s="20"/>
      <c r="D524" s="29"/>
      <c r="E524" s="20"/>
      <c r="F524" s="20"/>
      <c r="G524" s="20"/>
      <c r="H52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4" s="21"/>
      <c r="J52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5" spans="1:12" x14ac:dyDescent="0.3">
      <c r="A525" s="20"/>
      <c r="B525" s="20"/>
      <c r="C525" s="20"/>
      <c r="D525" s="29"/>
      <c r="E525" s="20"/>
      <c r="F525" s="20"/>
      <c r="G525" s="20"/>
      <c r="H52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5" s="21"/>
      <c r="J52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6" spans="1:12" x14ac:dyDescent="0.3">
      <c r="A526" s="20"/>
      <c r="B526" s="20"/>
      <c r="C526" s="20"/>
      <c r="D526" s="29"/>
      <c r="E526" s="20"/>
      <c r="F526" s="20"/>
      <c r="G526" s="20"/>
      <c r="H52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6" s="21"/>
      <c r="J52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7" spans="1:12" x14ac:dyDescent="0.3">
      <c r="A527" s="20"/>
      <c r="B527" s="20"/>
      <c r="C527" s="20"/>
      <c r="D527" s="29"/>
      <c r="E527" s="20"/>
      <c r="F527" s="20"/>
      <c r="G527" s="20"/>
      <c r="H52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7" s="21"/>
      <c r="J52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8" spans="1:12" x14ac:dyDescent="0.3">
      <c r="A528" s="20"/>
      <c r="B528" s="20"/>
      <c r="C528" s="20"/>
      <c r="D528" s="29"/>
      <c r="E528" s="20"/>
      <c r="F528" s="20"/>
      <c r="G528" s="20"/>
      <c r="H52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8" s="21"/>
      <c r="J52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29" spans="1:12" x14ac:dyDescent="0.3">
      <c r="A529" s="20"/>
      <c r="B529" s="20"/>
      <c r="C529" s="20"/>
      <c r="D529" s="29"/>
      <c r="E529" s="20"/>
      <c r="F529" s="20"/>
      <c r="G529" s="20"/>
      <c r="H52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29" s="21"/>
      <c r="J52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2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2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0" spans="1:12" x14ac:dyDescent="0.3">
      <c r="A530" s="20"/>
      <c r="B530" s="20"/>
      <c r="C530" s="20"/>
      <c r="D530" s="29"/>
      <c r="E530" s="20"/>
      <c r="F530" s="20"/>
      <c r="G530" s="20"/>
      <c r="H53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0" s="21"/>
      <c r="J53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1" spans="1:12" x14ac:dyDescent="0.3">
      <c r="A531" s="20"/>
      <c r="B531" s="20"/>
      <c r="C531" s="20"/>
      <c r="D531" s="29"/>
      <c r="E531" s="20"/>
      <c r="F531" s="20"/>
      <c r="G531" s="20"/>
      <c r="H53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1" s="21"/>
      <c r="J53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2" spans="1:12" x14ac:dyDescent="0.3">
      <c r="A532" s="20"/>
      <c r="B532" s="20"/>
      <c r="C532" s="20"/>
      <c r="D532" s="29"/>
      <c r="E532" s="20"/>
      <c r="F532" s="20"/>
      <c r="G532" s="20"/>
      <c r="H53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2" s="21"/>
      <c r="J53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3" spans="1:12" x14ac:dyDescent="0.3">
      <c r="A533" s="20"/>
      <c r="B533" s="20"/>
      <c r="C533" s="20"/>
      <c r="D533" s="29"/>
      <c r="E533" s="20"/>
      <c r="F533" s="20"/>
      <c r="G533" s="20"/>
      <c r="H53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3" s="21"/>
      <c r="J53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4" spans="1:12" x14ac:dyDescent="0.3">
      <c r="A534" s="20"/>
      <c r="B534" s="20"/>
      <c r="C534" s="20"/>
      <c r="D534" s="29"/>
      <c r="E534" s="20"/>
      <c r="F534" s="20"/>
      <c r="G534" s="20"/>
      <c r="H53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4" s="21"/>
      <c r="J53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5" spans="1:12" x14ac:dyDescent="0.3">
      <c r="A535" s="20"/>
      <c r="B535" s="20"/>
      <c r="C535" s="20"/>
      <c r="D535" s="29"/>
      <c r="E535" s="20"/>
      <c r="F535" s="20"/>
      <c r="G535" s="20"/>
      <c r="H53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5" s="21"/>
      <c r="J53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6" spans="1:12" x14ac:dyDescent="0.3">
      <c r="A536" s="20"/>
      <c r="B536" s="20"/>
      <c r="C536" s="20"/>
      <c r="D536" s="29"/>
      <c r="E536" s="20"/>
      <c r="F536" s="20"/>
      <c r="G536" s="20"/>
      <c r="H53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6" s="21"/>
      <c r="J53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7" spans="1:12" x14ac:dyDescent="0.3">
      <c r="A537" s="20"/>
      <c r="B537" s="20"/>
      <c r="C537" s="20"/>
      <c r="D537" s="29"/>
      <c r="E537" s="20"/>
      <c r="F537" s="20"/>
      <c r="G537" s="20"/>
      <c r="H53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7" s="21"/>
      <c r="J53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8" spans="1:12" x14ac:dyDescent="0.3">
      <c r="A538" s="20"/>
      <c r="B538" s="20"/>
      <c r="C538" s="20"/>
      <c r="D538" s="29"/>
      <c r="E538" s="20"/>
      <c r="F538" s="20"/>
      <c r="G538" s="20"/>
      <c r="H53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8" s="21"/>
      <c r="J53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39" spans="1:12" x14ac:dyDescent="0.3">
      <c r="A539" s="20"/>
      <c r="B539" s="20"/>
      <c r="C539" s="20"/>
      <c r="D539" s="29"/>
      <c r="E539" s="20"/>
      <c r="F539" s="20"/>
      <c r="G539" s="20"/>
      <c r="H53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39" s="21"/>
      <c r="J53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3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3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0" spans="1:12" x14ac:dyDescent="0.3">
      <c r="A540" s="20"/>
      <c r="B540" s="20"/>
      <c r="C540" s="20"/>
      <c r="D540" s="29"/>
      <c r="E540" s="20"/>
      <c r="F540" s="20"/>
      <c r="G540" s="20"/>
      <c r="H54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0" s="21"/>
      <c r="J54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1" spans="1:12" x14ac:dyDescent="0.3">
      <c r="A541" s="20"/>
      <c r="B541" s="20"/>
      <c r="C541" s="20"/>
      <c r="D541" s="29"/>
      <c r="E541" s="20"/>
      <c r="F541" s="20"/>
      <c r="G541" s="20"/>
      <c r="H54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1" s="21"/>
      <c r="J54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2" spans="1:12" x14ac:dyDescent="0.3">
      <c r="A542" s="20"/>
      <c r="B542" s="20"/>
      <c r="C542" s="20"/>
      <c r="D542" s="29"/>
      <c r="E542" s="20"/>
      <c r="F542" s="20"/>
      <c r="G542" s="20"/>
      <c r="H54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2" s="21"/>
      <c r="J54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3" spans="1:12" x14ac:dyDescent="0.3">
      <c r="A543" s="20"/>
      <c r="B543" s="20"/>
      <c r="C543" s="20"/>
      <c r="D543" s="29"/>
      <c r="E543" s="20"/>
      <c r="F543" s="20"/>
      <c r="G543" s="20"/>
      <c r="H54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3" s="21"/>
      <c r="J54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4" spans="1:12" x14ac:dyDescent="0.3">
      <c r="A544" s="20"/>
      <c r="B544" s="20"/>
      <c r="C544" s="20"/>
      <c r="D544" s="29"/>
      <c r="E544" s="20"/>
      <c r="F544" s="20"/>
      <c r="G544" s="20"/>
      <c r="H54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4" s="21"/>
      <c r="J54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5" spans="1:12" x14ac:dyDescent="0.3">
      <c r="A545" s="20"/>
      <c r="B545" s="20"/>
      <c r="C545" s="20"/>
      <c r="D545" s="29"/>
      <c r="E545" s="20"/>
      <c r="F545" s="20"/>
      <c r="G545" s="20"/>
      <c r="H54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5" s="21"/>
      <c r="J54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6" spans="1:12" x14ac:dyDescent="0.3">
      <c r="A546" s="20"/>
      <c r="B546" s="20"/>
      <c r="C546" s="20"/>
      <c r="D546" s="29"/>
      <c r="E546" s="20"/>
      <c r="F546" s="20"/>
      <c r="G546" s="20"/>
      <c r="H54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6" s="21"/>
      <c r="J54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7" spans="1:12" x14ac:dyDescent="0.3">
      <c r="A547" s="20"/>
      <c r="B547" s="20"/>
      <c r="C547" s="20"/>
      <c r="D547" s="29"/>
      <c r="E547" s="20"/>
      <c r="F547" s="20"/>
      <c r="G547" s="20"/>
      <c r="H54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7" s="21"/>
      <c r="J54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8" spans="1:12" x14ac:dyDescent="0.3">
      <c r="A548" s="20"/>
      <c r="B548" s="20"/>
      <c r="C548" s="20"/>
      <c r="D548" s="29"/>
      <c r="E548" s="20"/>
      <c r="F548" s="20"/>
      <c r="G548" s="20"/>
      <c r="H54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8" s="21"/>
      <c r="J54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49" spans="1:12" x14ac:dyDescent="0.3">
      <c r="A549" s="20"/>
      <c r="B549" s="20"/>
      <c r="C549" s="20"/>
      <c r="D549" s="29"/>
      <c r="E549" s="20"/>
      <c r="F549" s="20"/>
      <c r="G549" s="20"/>
      <c r="H54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49" s="21"/>
      <c r="J54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4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4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0" spans="1:12" x14ac:dyDescent="0.3">
      <c r="A550" s="20"/>
      <c r="B550" s="20"/>
      <c r="C550" s="20"/>
      <c r="D550" s="29"/>
      <c r="E550" s="20"/>
      <c r="F550" s="20"/>
      <c r="G550" s="20"/>
      <c r="H55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0" s="21"/>
      <c r="J55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1" spans="1:12" x14ac:dyDescent="0.3">
      <c r="A551" s="20"/>
      <c r="B551" s="20"/>
      <c r="C551" s="20"/>
      <c r="D551" s="29"/>
      <c r="E551" s="20"/>
      <c r="F551" s="20"/>
      <c r="G551" s="20"/>
      <c r="H55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1" s="21"/>
      <c r="J55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2" spans="1:12" x14ac:dyDescent="0.3">
      <c r="A552" s="20"/>
      <c r="B552" s="20"/>
      <c r="C552" s="20"/>
      <c r="D552" s="29"/>
      <c r="E552" s="20"/>
      <c r="F552" s="20"/>
      <c r="G552" s="20"/>
      <c r="H55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2" s="21"/>
      <c r="J55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3" spans="1:12" x14ac:dyDescent="0.3">
      <c r="A553" s="20"/>
      <c r="B553" s="20"/>
      <c r="C553" s="20"/>
      <c r="D553" s="29"/>
      <c r="E553" s="20"/>
      <c r="F553" s="20"/>
      <c r="G553" s="20"/>
      <c r="H55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3" s="21"/>
      <c r="J55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4" spans="1:12" x14ac:dyDescent="0.3">
      <c r="A554" s="20"/>
      <c r="B554" s="20"/>
      <c r="C554" s="20"/>
      <c r="D554" s="29"/>
      <c r="E554" s="20"/>
      <c r="F554" s="20"/>
      <c r="G554" s="20"/>
      <c r="H55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4" s="21"/>
      <c r="J55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5" spans="1:12" x14ac:dyDescent="0.3">
      <c r="A555" s="20"/>
      <c r="B555" s="20"/>
      <c r="C555" s="20"/>
      <c r="D555" s="29"/>
      <c r="E555" s="20"/>
      <c r="F555" s="20"/>
      <c r="G555" s="20"/>
      <c r="H55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5" s="21"/>
      <c r="J55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6" spans="1:12" x14ac:dyDescent="0.3">
      <c r="A556" s="20"/>
      <c r="B556" s="20"/>
      <c r="C556" s="20"/>
      <c r="D556" s="29"/>
      <c r="E556" s="20"/>
      <c r="F556" s="20"/>
      <c r="G556" s="20"/>
      <c r="H55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6" s="21"/>
      <c r="J55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7" spans="1:12" x14ac:dyDescent="0.3">
      <c r="A557" s="20"/>
      <c r="B557" s="20"/>
      <c r="C557" s="20"/>
      <c r="D557" s="29"/>
      <c r="E557" s="20"/>
      <c r="F557" s="20"/>
      <c r="G557" s="20"/>
      <c r="H55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7" s="21"/>
      <c r="J55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8" spans="1:12" x14ac:dyDescent="0.3">
      <c r="A558" s="20"/>
      <c r="B558" s="20"/>
      <c r="C558" s="20"/>
      <c r="D558" s="29"/>
      <c r="E558" s="20"/>
      <c r="F558" s="20"/>
      <c r="G558" s="20"/>
      <c r="H55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8" s="21"/>
      <c r="J55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59" spans="1:12" x14ac:dyDescent="0.3">
      <c r="A559" s="20"/>
      <c r="B559" s="20"/>
      <c r="C559" s="20"/>
      <c r="D559" s="29"/>
      <c r="E559" s="20"/>
      <c r="F559" s="20"/>
      <c r="G559" s="20"/>
      <c r="H55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59" s="21"/>
      <c r="J55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5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5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0" spans="1:12" x14ac:dyDescent="0.3">
      <c r="A560" s="20"/>
      <c r="B560" s="20"/>
      <c r="C560" s="20"/>
      <c r="D560" s="29"/>
      <c r="E560" s="20"/>
      <c r="F560" s="20"/>
      <c r="G560" s="20"/>
      <c r="H56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0" s="21"/>
      <c r="J56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1" spans="1:12" x14ac:dyDescent="0.3">
      <c r="A561" s="20"/>
      <c r="B561" s="20"/>
      <c r="C561" s="20"/>
      <c r="D561" s="29"/>
      <c r="E561" s="20"/>
      <c r="F561" s="20"/>
      <c r="G561" s="20"/>
      <c r="H56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1" s="21"/>
      <c r="J56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2" spans="1:12" x14ac:dyDescent="0.3">
      <c r="A562" s="20"/>
      <c r="B562" s="20"/>
      <c r="C562" s="20"/>
      <c r="D562" s="29"/>
      <c r="E562" s="20"/>
      <c r="F562" s="20"/>
      <c r="G562" s="20"/>
      <c r="H56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2" s="21"/>
      <c r="J56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3" spans="1:12" x14ac:dyDescent="0.3">
      <c r="A563" s="20"/>
      <c r="B563" s="20"/>
      <c r="C563" s="20"/>
      <c r="D563" s="29"/>
      <c r="E563" s="20"/>
      <c r="F563" s="20"/>
      <c r="G563" s="20"/>
      <c r="H56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3" s="21"/>
      <c r="J56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4" spans="1:12" x14ac:dyDescent="0.3">
      <c r="A564" s="20"/>
      <c r="B564" s="20"/>
      <c r="C564" s="20"/>
      <c r="D564" s="29"/>
      <c r="E564" s="20"/>
      <c r="F564" s="20"/>
      <c r="G564" s="20"/>
      <c r="H56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4" s="21"/>
      <c r="J56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5" spans="1:12" x14ac:dyDescent="0.3">
      <c r="A565" s="20"/>
      <c r="B565" s="20"/>
      <c r="C565" s="20"/>
      <c r="D565" s="29"/>
      <c r="E565" s="20"/>
      <c r="F565" s="20"/>
      <c r="G565" s="20"/>
      <c r="H56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5" s="21"/>
      <c r="J56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6" spans="1:12" x14ac:dyDescent="0.3">
      <c r="A566" s="20"/>
      <c r="B566" s="20"/>
      <c r="C566" s="20"/>
      <c r="D566" s="29"/>
      <c r="E566" s="20"/>
      <c r="F566" s="20"/>
      <c r="G566" s="20"/>
      <c r="H56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6" s="21"/>
      <c r="J56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7" spans="1:12" x14ac:dyDescent="0.3">
      <c r="A567" s="20"/>
      <c r="B567" s="20"/>
      <c r="C567" s="20"/>
      <c r="D567" s="29"/>
      <c r="E567" s="20"/>
      <c r="F567" s="20"/>
      <c r="G567" s="20"/>
      <c r="H56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7" s="21"/>
      <c r="J56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8" spans="1:12" x14ac:dyDescent="0.3">
      <c r="A568" s="20"/>
      <c r="B568" s="20"/>
      <c r="C568" s="20"/>
      <c r="D568" s="29"/>
      <c r="E568" s="20"/>
      <c r="F568" s="20"/>
      <c r="G568" s="20"/>
      <c r="H56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8" s="21"/>
      <c r="J56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69" spans="1:12" x14ac:dyDescent="0.3">
      <c r="A569" s="20"/>
      <c r="B569" s="20"/>
      <c r="C569" s="20"/>
      <c r="D569" s="29"/>
      <c r="E569" s="20"/>
      <c r="F569" s="20"/>
      <c r="G569" s="20"/>
      <c r="H56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69" s="21"/>
      <c r="J56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6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6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0" spans="1:12" x14ac:dyDescent="0.3">
      <c r="A570" s="20"/>
      <c r="B570" s="20"/>
      <c r="C570" s="20"/>
      <c r="D570" s="29"/>
      <c r="E570" s="20"/>
      <c r="F570" s="20"/>
      <c r="G570" s="20"/>
      <c r="H57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0" s="21"/>
      <c r="J57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1" spans="1:12" x14ac:dyDescent="0.3">
      <c r="A571" s="20"/>
      <c r="B571" s="20"/>
      <c r="C571" s="20"/>
      <c r="D571" s="29"/>
      <c r="E571" s="20"/>
      <c r="F571" s="20"/>
      <c r="G571" s="20"/>
      <c r="H57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1" s="21"/>
      <c r="J57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2" spans="1:12" x14ac:dyDescent="0.3">
      <c r="A572" s="20"/>
      <c r="B572" s="20"/>
      <c r="C572" s="20"/>
      <c r="D572" s="29"/>
      <c r="E572" s="20"/>
      <c r="F572" s="20"/>
      <c r="G572" s="20"/>
      <c r="H57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2" s="21"/>
      <c r="J57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3" spans="1:12" x14ac:dyDescent="0.3">
      <c r="A573" s="20"/>
      <c r="B573" s="20"/>
      <c r="C573" s="20"/>
      <c r="D573" s="29"/>
      <c r="E573" s="20"/>
      <c r="F573" s="20"/>
      <c r="G573" s="20"/>
      <c r="H57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3" s="21"/>
      <c r="J57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4" spans="1:12" x14ac:dyDescent="0.3">
      <c r="A574" s="20"/>
      <c r="B574" s="20"/>
      <c r="C574" s="20"/>
      <c r="D574" s="29"/>
      <c r="E574" s="20"/>
      <c r="F574" s="20"/>
      <c r="G574" s="20"/>
      <c r="H57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4" s="21"/>
      <c r="J57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5" spans="1:12" x14ac:dyDescent="0.3">
      <c r="A575" s="20"/>
      <c r="B575" s="20"/>
      <c r="C575" s="20"/>
      <c r="D575" s="29"/>
      <c r="E575" s="20"/>
      <c r="F575" s="20"/>
      <c r="G575" s="20"/>
      <c r="H57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5" s="21"/>
      <c r="J57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6" spans="1:12" x14ac:dyDescent="0.3">
      <c r="A576" s="20"/>
      <c r="B576" s="20"/>
      <c r="C576" s="20"/>
      <c r="D576" s="29"/>
      <c r="E576" s="20"/>
      <c r="F576" s="20"/>
      <c r="G576" s="20"/>
      <c r="H57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6" s="21"/>
      <c r="J57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7" spans="1:12" x14ac:dyDescent="0.3">
      <c r="A577" s="20"/>
      <c r="B577" s="20"/>
      <c r="C577" s="20"/>
      <c r="D577" s="29"/>
      <c r="E577" s="20"/>
      <c r="F577" s="20"/>
      <c r="G577" s="20"/>
      <c r="H57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7" s="21"/>
      <c r="J57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8" spans="1:12" x14ac:dyDescent="0.3">
      <c r="A578" s="20"/>
      <c r="B578" s="20"/>
      <c r="C578" s="20"/>
      <c r="D578" s="29"/>
      <c r="E578" s="20"/>
      <c r="F578" s="20"/>
      <c r="G578" s="20"/>
      <c r="H57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8" s="21"/>
      <c r="J57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79" spans="1:12" x14ac:dyDescent="0.3">
      <c r="A579" s="20"/>
      <c r="B579" s="20"/>
      <c r="C579" s="20"/>
      <c r="D579" s="29"/>
      <c r="E579" s="20"/>
      <c r="F579" s="20"/>
      <c r="G579" s="20"/>
      <c r="H57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79" s="21"/>
      <c r="J57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7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7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0" spans="1:12" x14ac:dyDescent="0.3">
      <c r="A580" s="20"/>
      <c r="B580" s="20"/>
      <c r="C580" s="20"/>
      <c r="D580" s="29"/>
      <c r="E580" s="20"/>
      <c r="F580" s="20"/>
      <c r="G580" s="20"/>
      <c r="H58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0" s="21"/>
      <c r="J58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1" spans="1:12" x14ac:dyDescent="0.3">
      <c r="A581" s="20"/>
      <c r="B581" s="20"/>
      <c r="C581" s="20"/>
      <c r="D581" s="29"/>
      <c r="E581" s="20"/>
      <c r="F581" s="20"/>
      <c r="G581" s="20"/>
      <c r="H58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1" s="21"/>
      <c r="J58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2" spans="1:12" x14ac:dyDescent="0.3">
      <c r="A582" s="20"/>
      <c r="B582" s="20"/>
      <c r="C582" s="20"/>
      <c r="D582" s="29"/>
      <c r="E582" s="20"/>
      <c r="F582" s="20"/>
      <c r="G582" s="20"/>
      <c r="H58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2" s="21"/>
      <c r="J58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3" spans="1:12" x14ac:dyDescent="0.3">
      <c r="A583" s="20"/>
      <c r="B583" s="20"/>
      <c r="C583" s="20"/>
      <c r="D583" s="29"/>
      <c r="E583" s="20"/>
      <c r="F583" s="20"/>
      <c r="G583" s="20"/>
      <c r="H58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3" s="21"/>
      <c r="J58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4" spans="1:12" x14ac:dyDescent="0.3">
      <c r="A584" s="20"/>
      <c r="B584" s="20"/>
      <c r="C584" s="20"/>
      <c r="D584" s="29"/>
      <c r="E584" s="20"/>
      <c r="F584" s="20"/>
      <c r="G584" s="20"/>
      <c r="H58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4" s="21"/>
      <c r="J58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5" spans="1:12" x14ac:dyDescent="0.3">
      <c r="A585" s="20"/>
      <c r="B585" s="20"/>
      <c r="C585" s="20"/>
      <c r="D585" s="29"/>
      <c r="E585" s="20"/>
      <c r="F585" s="20"/>
      <c r="G585" s="20"/>
      <c r="H58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5" s="21"/>
      <c r="J58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6" spans="1:12" x14ac:dyDescent="0.3">
      <c r="A586" s="20"/>
      <c r="B586" s="20"/>
      <c r="C586" s="20"/>
      <c r="D586" s="29"/>
      <c r="E586" s="20"/>
      <c r="F586" s="20"/>
      <c r="G586" s="20"/>
      <c r="H58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6" s="21"/>
      <c r="J58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7" spans="1:12" x14ac:dyDescent="0.3">
      <c r="A587" s="20"/>
      <c r="B587" s="20"/>
      <c r="C587" s="20"/>
      <c r="D587" s="29"/>
      <c r="E587" s="20"/>
      <c r="F587" s="20"/>
      <c r="G587" s="20"/>
      <c r="H58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7" s="21"/>
      <c r="J58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8" spans="1:12" x14ac:dyDescent="0.3">
      <c r="A588" s="20"/>
      <c r="B588" s="20"/>
      <c r="C588" s="20"/>
      <c r="D588" s="29"/>
      <c r="E588" s="20"/>
      <c r="F588" s="20"/>
      <c r="G588" s="20"/>
      <c r="H58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8" s="21"/>
      <c r="J58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89" spans="1:12" x14ac:dyDescent="0.3">
      <c r="A589" s="20"/>
      <c r="B589" s="20"/>
      <c r="C589" s="20"/>
      <c r="D589" s="29"/>
      <c r="E589" s="20"/>
      <c r="F589" s="20"/>
      <c r="G589" s="20"/>
      <c r="H58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89" s="21"/>
      <c r="J58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8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8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0" spans="1:12" x14ac:dyDescent="0.3">
      <c r="A590" s="20"/>
      <c r="B590" s="20"/>
      <c r="C590" s="20"/>
      <c r="D590" s="29"/>
      <c r="E590" s="20"/>
      <c r="F590" s="20"/>
      <c r="G590" s="20"/>
      <c r="H59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0" s="21"/>
      <c r="J59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1" spans="1:12" x14ac:dyDescent="0.3">
      <c r="A591" s="20"/>
      <c r="B591" s="20"/>
      <c r="C591" s="20"/>
      <c r="D591" s="29"/>
      <c r="E591" s="20"/>
      <c r="F591" s="20"/>
      <c r="G591" s="20"/>
      <c r="H59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1" s="21"/>
      <c r="J59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2" spans="1:12" x14ac:dyDescent="0.3">
      <c r="A592" s="20"/>
      <c r="B592" s="20"/>
      <c r="C592" s="20"/>
      <c r="D592" s="29"/>
      <c r="E592" s="20"/>
      <c r="F592" s="20"/>
      <c r="G592" s="20"/>
      <c r="H59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2" s="21"/>
      <c r="J59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3" spans="1:12" x14ac:dyDescent="0.3">
      <c r="A593" s="20"/>
      <c r="B593" s="20"/>
      <c r="C593" s="20"/>
      <c r="D593" s="29"/>
      <c r="E593" s="20"/>
      <c r="F593" s="20"/>
      <c r="G593" s="20"/>
      <c r="H59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3" s="21"/>
      <c r="J59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4" spans="1:12" x14ac:dyDescent="0.3">
      <c r="A594" s="20"/>
      <c r="B594" s="20"/>
      <c r="C594" s="20"/>
      <c r="D594" s="29"/>
      <c r="E594" s="20"/>
      <c r="F594" s="20"/>
      <c r="G594" s="20"/>
      <c r="H59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4" s="21"/>
      <c r="J59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5" spans="1:12" x14ac:dyDescent="0.3">
      <c r="A595" s="20"/>
      <c r="B595" s="20"/>
      <c r="C595" s="20"/>
      <c r="D595" s="29"/>
      <c r="E595" s="20"/>
      <c r="F595" s="20"/>
      <c r="G595" s="20"/>
      <c r="H59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5" s="21"/>
      <c r="J59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6" spans="1:12" x14ac:dyDescent="0.3">
      <c r="A596" s="20"/>
      <c r="B596" s="20"/>
      <c r="C596" s="20"/>
      <c r="D596" s="29"/>
      <c r="E596" s="20"/>
      <c r="F596" s="20"/>
      <c r="G596" s="20"/>
      <c r="H59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6" s="21"/>
      <c r="J59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7" spans="1:12" x14ac:dyDescent="0.3">
      <c r="A597" s="20"/>
      <c r="B597" s="20"/>
      <c r="C597" s="20"/>
      <c r="D597" s="29"/>
      <c r="E597" s="20"/>
      <c r="F597" s="20"/>
      <c r="G597" s="20"/>
      <c r="H59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7" s="21"/>
      <c r="J59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8" spans="1:12" x14ac:dyDescent="0.3">
      <c r="A598" s="20"/>
      <c r="B598" s="20"/>
      <c r="C598" s="20"/>
      <c r="D598" s="29"/>
      <c r="E598" s="20"/>
      <c r="F598" s="20"/>
      <c r="G598" s="20"/>
      <c r="H59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8" s="21"/>
      <c r="J59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599" spans="1:12" x14ac:dyDescent="0.3">
      <c r="A599" s="20"/>
      <c r="B599" s="20"/>
      <c r="C599" s="20"/>
      <c r="D599" s="29"/>
      <c r="E599" s="20"/>
      <c r="F599" s="20"/>
      <c r="G599" s="20"/>
      <c r="H59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599" s="21"/>
      <c r="J59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59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59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0" spans="1:12" x14ac:dyDescent="0.3">
      <c r="A600" s="20"/>
      <c r="B600" s="20"/>
      <c r="C600" s="20"/>
      <c r="D600" s="29"/>
      <c r="E600" s="20"/>
      <c r="F600" s="20"/>
      <c r="G600" s="20"/>
      <c r="H60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0" s="21"/>
      <c r="J60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1" spans="1:12" x14ac:dyDescent="0.3">
      <c r="A601" s="20"/>
      <c r="B601" s="20"/>
      <c r="C601" s="20"/>
      <c r="D601" s="29"/>
      <c r="E601" s="20"/>
      <c r="F601" s="20"/>
      <c r="G601" s="20"/>
      <c r="H60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1" s="21"/>
      <c r="J60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2" spans="1:12" x14ac:dyDescent="0.3">
      <c r="A602" s="20"/>
      <c r="B602" s="20"/>
      <c r="C602" s="20"/>
      <c r="D602" s="29"/>
      <c r="E602" s="20"/>
      <c r="F602" s="20"/>
      <c r="G602" s="20"/>
      <c r="H60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2" s="21"/>
      <c r="J60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3" spans="1:12" x14ac:dyDescent="0.3">
      <c r="A603" s="20"/>
      <c r="B603" s="20"/>
      <c r="C603" s="20"/>
      <c r="D603" s="29"/>
      <c r="E603" s="20"/>
      <c r="F603" s="20"/>
      <c r="G603" s="20"/>
      <c r="H60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3" s="21"/>
      <c r="J60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4" spans="1:12" x14ac:dyDescent="0.3">
      <c r="A604" s="20"/>
      <c r="B604" s="20"/>
      <c r="C604" s="20"/>
      <c r="D604" s="29"/>
      <c r="E604" s="20"/>
      <c r="F604" s="20"/>
      <c r="G604" s="20"/>
      <c r="H60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4" s="21"/>
      <c r="J60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5" spans="1:12" x14ac:dyDescent="0.3">
      <c r="A605" s="20"/>
      <c r="B605" s="20"/>
      <c r="C605" s="20"/>
      <c r="D605" s="29"/>
      <c r="E605" s="20"/>
      <c r="F605" s="20"/>
      <c r="G605" s="20"/>
      <c r="H60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5" s="21"/>
      <c r="J60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6" spans="1:12" x14ac:dyDescent="0.3">
      <c r="A606" s="20"/>
      <c r="B606" s="20"/>
      <c r="C606" s="20"/>
      <c r="D606" s="29"/>
      <c r="E606" s="20"/>
      <c r="F606" s="20"/>
      <c r="G606" s="20"/>
      <c r="H60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6" s="21"/>
      <c r="J60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7" spans="1:12" x14ac:dyDescent="0.3">
      <c r="A607" s="20"/>
      <c r="B607" s="20"/>
      <c r="C607" s="20"/>
      <c r="D607" s="29"/>
      <c r="E607" s="20"/>
      <c r="F607" s="20"/>
      <c r="G607" s="20"/>
      <c r="H60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7" s="21"/>
      <c r="J60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8" spans="1:12" x14ac:dyDescent="0.3">
      <c r="A608" s="20"/>
      <c r="B608" s="20"/>
      <c r="C608" s="20"/>
      <c r="D608" s="29"/>
      <c r="E608" s="20"/>
      <c r="F608" s="20"/>
      <c r="G608" s="20"/>
      <c r="H60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8" s="21"/>
      <c r="J60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09" spans="1:12" x14ac:dyDescent="0.3">
      <c r="A609" s="20"/>
      <c r="B609" s="20"/>
      <c r="C609" s="20"/>
      <c r="D609" s="29"/>
      <c r="E609" s="20"/>
      <c r="F609" s="20"/>
      <c r="G609" s="20"/>
      <c r="H60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09" s="21"/>
      <c r="J60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0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0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0" spans="1:12" x14ac:dyDescent="0.3">
      <c r="A610" s="20"/>
      <c r="B610" s="20"/>
      <c r="C610" s="20"/>
      <c r="D610" s="29"/>
      <c r="E610" s="20"/>
      <c r="F610" s="20"/>
      <c r="G610" s="20"/>
      <c r="H61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0" s="21"/>
      <c r="J61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1" spans="1:12" x14ac:dyDescent="0.3">
      <c r="A611" s="20"/>
      <c r="B611" s="20"/>
      <c r="C611" s="20"/>
      <c r="D611" s="29"/>
      <c r="E611" s="20"/>
      <c r="F611" s="20"/>
      <c r="G611" s="20"/>
      <c r="H61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1" s="21"/>
      <c r="J61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2" spans="1:12" x14ac:dyDescent="0.3">
      <c r="A612" s="20"/>
      <c r="B612" s="20"/>
      <c r="C612" s="20"/>
      <c r="D612" s="29"/>
      <c r="E612" s="20"/>
      <c r="F612" s="20"/>
      <c r="G612" s="20"/>
      <c r="H61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2" s="21"/>
      <c r="J61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3" spans="1:12" x14ac:dyDescent="0.3">
      <c r="A613" s="20"/>
      <c r="B613" s="20"/>
      <c r="C613" s="20"/>
      <c r="D613" s="29"/>
      <c r="E613" s="20"/>
      <c r="F613" s="20"/>
      <c r="G613" s="20"/>
      <c r="H61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3" s="21"/>
      <c r="J61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4" spans="1:12" x14ac:dyDescent="0.3">
      <c r="A614" s="20"/>
      <c r="B614" s="20"/>
      <c r="C614" s="20"/>
      <c r="D614" s="29"/>
      <c r="E614" s="20"/>
      <c r="F614" s="20"/>
      <c r="G614" s="20"/>
      <c r="H61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4" s="21"/>
      <c r="J61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5" spans="1:12" x14ac:dyDescent="0.3">
      <c r="A615" s="20"/>
      <c r="B615" s="20"/>
      <c r="C615" s="20"/>
      <c r="D615" s="29"/>
      <c r="E615" s="20"/>
      <c r="F615" s="20"/>
      <c r="G615" s="20"/>
      <c r="H61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5" s="21"/>
      <c r="J61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6" spans="1:12" x14ac:dyDescent="0.3">
      <c r="A616" s="20"/>
      <c r="B616" s="20"/>
      <c r="C616" s="20"/>
      <c r="D616" s="29"/>
      <c r="E616" s="20"/>
      <c r="F616" s="20"/>
      <c r="G616" s="20"/>
      <c r="H61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6" s="21"/>
      <c r="J61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7" spans="1:12" x14ac:dyDescent="0.3">
      <c r="A617" s="20"/>
      <c r="B617" s="20"/>
      <c r="C617" s="20"/>
      <c r="D617" s="29"/>
      <c r="E617" s="20"/>
      <c r="F617" s="20"/>
      <c r="G617" s="20"/>
      <c r="H61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7" s="21"/>
      <c r="J61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8" spans="1:12" x14ac:dyDescent="0.3">
      <c r="A618" s="20"/>
      <c r="B618" s="20"/>
      <c r="C618" s="20"/>
      <c r="D618" s="29"/>
      <c r="E618" s="20"/>
      <c r="F618" s="20"/>
      <c r="G618" s="20"/>
      <c r="H61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8" s="21"/>
      <c r="J61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19" spans="1:12" x14ac:dyDescent="0.3">
      <c r="A619" s="20"/>
      <c r="B619" s="20"/>
      <c r="C619" s="20"/>
      <c r="D619" s="29"/>
      <c r="E619" s="20"/>
      <c r="F619" s="20"/>
      <c r="G619" s="20"/>
      <c r="H61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19" s="21"/>
      <c r="J61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1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1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0" spans="1:12" x14ac:dyDescent="0.3">
      <c r="A620" s="20"/>
      <c r="B620" s="20"/>
      <c r="C620" s="20"/>
      <c r="D620" s="29"/>
      <c r="E620" s="20"/>
      <c r="F620" s="20"/>
      <c r="G620" s="20"/>
      <c r="H62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0" s="21"/>
      <c r="J62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1" spans="1:12" x14ac:dyDescent="0.3">
      <c r="A621" s="20"/>
      <c r="B621" s="20"/>
      <c r="C621" s="20"/>
      <c r="D621" s="29"/>
      <c r="E621" s="20"/>
      <c r="F621" s="20"/>
      <c r="G621" s="20"/>
      <c r="H62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1" s="21"/>
      <c r="J62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2" spans="1:12" x14ac:dyDescent="0.3">
      <c r="A622" s="20"/>
      <c r="B622" s="20"/>
      <c r="C622" s="20"/>
      <c r="D622" s="29"/>
      <c r="E622" s="20"/>
      <c r="F622" s="20"/>
      <c r="G622" s="20"/>
      <c r="H62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2" s="21"/>
      <c r="J62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3" spans="1:12" x14ac:dyDescent="0.3">
      <c r="A623" s="20"/>
      <c r="B623" s="20"/>
      <c r="C623" s="20"/>
      <c r="D623" s="29"/>
      <c r="E623" s="20"/>
      <c r="F623" s="20"/>
      <c r="G623" s="20"/>
      <c r="H62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3" s="21"/>
      <c r="J62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4" spans="1:12" x14ac:dyDescent="0.3">
      <c r="A624" s="20"/>
      <c r="B624" s="20"/>
      <c r="C624" s="20"/>
      <c r="D624" s="29"/>
      <c r="E624" s="20"/>
      <c r="F624" s="20"/>
      <c r="G624" s="20"/>
      <c r="H62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4" s="21"/>
      <c r="J62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5" spans="1:12" x14ac:dyDescent="0.3">
      <c r="A625" s="20"/>
      <c r="B625" s="20"/>
      <c r="C625" s="20"/>
      <c r="D625" s="29"/>
      <c r="E625" s="20"/>
      <c r="F625" s="20"/>
      <c r="G625" s="20"/>
      <c r="H62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5" s="21"/>
      <c r="J62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6" spans="1:12" x14ac:dyDescent="0.3">
      <c r="A626" s="20"/>
      <c r="B626" s="20"/>
      <c r="C626" s="20"/>
      <c r="D626" s="29"/>
      <c r="E626" s="20"/>
      <c r="F626" s="20"/>
      <c r="G626" s="20"/>
      <c r="H62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6" s="21"/>
      <c r="J62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7" spans="1:12" x14ac:dyDescent="0.3">
      <c r="A627" s="20"/>
      <c r="B627" s="20"/>
      <c r="C627" s="20"/>
      <c r="D627" s="29"/>
      <c r="E627" s="20"/>
      <c r="F627" s="20"/>
      <c r="G627" s="20"/>
      <c r="H62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7" s="21"/>
      <c r="J62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8" spans="1:12" x14ac:dyDescent="0.3">
      <c r="A628" s="20"/>
      <c r="B628" s="20"/>
      <c r="C628" s="20"/>
      <c r="D628" s="29"/>
      <c r="E628" s="20"/>
      <c r="F628" s="20"/>
      <c r="G628" s="20"/>
      <c r="H62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8" s="21"/>
      <c r="J62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29" spans="1:12" x14ac:dyDescent="0.3">
      <c r="A629" s="20"/>
      <c r="B629" s="20"/>
      <c r="C629" s="20"/>
      <c r="D629" s="29"/>
      <c r="E629" s="20"/>
      <c r="F629" s="20"/>
      <c r="G629" s="20"/>
      <c r="H62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29" s="21"/>
      <c r="J62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2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2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0" spans="1:12" x14ac:dyDescent="0.3">
      <c r="A630" s="20"/>
      <c r="B630" s="20"/>
      <c r="C630" s="20"/>
      <c r="D630" s="29"/>
      <c r="E630" s="20"/>
      <c r="F630" s="20"/>
      <c r="G630" s="20"/>
      <c r="H63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0" s="21"/>
      <c r="J63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1" spans="1:12" x14ac:dyDescent="0.3">
      <c r="A631" s="20"/>
      <c r="B631" s="20"/>
      <c r="C631" s="20"/>
      <c r="D631" s="29"/>
      <c r="E631" s="20"/>
      <c r="F631" s="20"/>
      <c r="G631" s="20"/>
      <c r="H63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1" s="21"/>
      <c r="J63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2" spans="1:12" x14ac:dyDescent="0.3">
      <c r="A632" s="20"/>
      <c r="B632" s="20"/>
      <c r="C632" s="20"/>
      <c r="D632" s="29"/>
      <c r="E632" s="20"/>
      <c r="F632" s="20"/>
      <c r="G632" s="20"/>
      <c r="H63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2" s="21"/>
      <c r="J63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3" spans="1:12" x14ac:dyDescent="0.3">
      <c r="A633" s="20"/>
      <c r="B633" s="20"/>
      <c r="C633" s="20"/>
      <c r="D633" s="29"/>
      <c r="E633" s="20"/>
      <c r="F633" s="20"/>
      <c r="G633" s="20"/>
      <c r="H63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3" s="21"/>
      <c r="J63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4" spans="1:12" x14ac:dyDescent="0.3">
      <c r="A634" s="20"/>
      <c r="B634" s="20"/>
      <c r="C634" s="20"/>
      <c r="D634" s="29"/>
      <c r="E634" s="20"/>
      <c r="F634" s="20"/>
      <c r="G634" s="20"/>
      <c r="H63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4" s="21"/>
      <c r="J63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5" spans="1:12" x14ac:dyDescent="0.3">
      <c r="A635" s="20"/>
      <c r="B635" s="20"/>
      <c r="C635" s="20"/>
      <c r="D635" s="29"/>
      <c r="E635" s="20"/>
      <c r="F635" s="20"/>
      <c r="G635" s="20"/>
      <c r="H63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5" s="21"/>
      <c r="J63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6" spans="1:12" x14ac:dyDescent="0.3">
      <c r="A636" s="20"/>
      <c r="B636" s="20"/>
      <c r="C636" s="20"/>
      <c r="D636" s="29"/>
      <c r="E636" s="20"/>
      <c r="F636" s="20"/>
      <c r="G636" s="20"/>
      <c r="H63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6" s="21"/>
      <c r="J63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7" spans="1:12" x14ac:dyDescent="0.3">
      <c r="A637" s="20"/>
      <c r="B637" s="20"/>
      <c r="C637" s="20"/>
      <c r="D637" s="29"/>
      <c r="E637" s="20"/>
      <c r="F637" s="20"/>
      <c r="G637" s="20"/>
      <c r="H63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7" s="21"/>
      <c r="J63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8" spans="1:12" x14ac:dyDescent="0.3">
      <c r="A638" s="20"/>
      <c r="B638" s="20"/>
      <c r="C638" s="20"/>
      <c r="D638" s="29"/>
      <c r="E638" s="20"/>
      <c r="F638" s="20"/>
      <c r="G638" s="20"/>
      <c r="H63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8" s="21"/>
      <c r="J63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39" spans="1:12" x14ac:dyDescent="0.3">
      <c r="A639" s="20"/>
      <c r="B639" s="20"/>
      <c r="C639" s="20"/>
      <c r="D639" s="29"/>
      <c r="E639" s="20"/>
      <c r="F639" s="20"/>
      <c r="G639" s="20"/>
      <c r="H63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39" s="21"/>
      <c r="J63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3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3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0" spans="1:12" x14ac:dyDescent="0.3">
      <c r="A640" s="20"/>
      <c r="B640" s="20"/>
      <c r="C640" s="20"/>
      <c r="D640" s="29"/>
      <c r="E640" s="20"/>
      <c r="F640" s="20"/>
      <c r="G640" s="20"/>
      <c r="H64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0" s="21"/>
      <c r="J64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1" spans="1:12" x14ac:dyDescent="0.3">
      <c r="A641" s="20"/>
      <c r="B641" s="20"/>
      <c r="C641" s="20"/>
      <c r="D641" s="29"/>
      <c r="E641" s="20"/>
      <c r="F641" s="20"/>
      <c r="G641" s="20"/>
      <c r="H64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1" s="21"/>
      <c r="J64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2" spans="1:12" x14ac:dyDescent="0.3">
      <c r="A642" s="20"/>
      <c r="B642" s="20"/>
      <c r="C642" s="20"/>
      <c r="D642" s="29"/>
      <c r="E642" s="20"/>
      <c r="F642" s="20"/>
      <c r="G642" s="20"/>
      <c r="H64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2" s="21"/>
      <c r="J64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3" spans="1:12" x14ac:dyDescent="0.3">
      <c r="A643" s="20"/>
      <c r="B643" s="20"/>
      <c r="C643" s="20"/>
      <c r="D643" s="29"/>
      <c r="E643" s="20"/>
      <c r="F643" s="20"/>
      <c r="G643" s="20"/>
      <c r="H64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3" s="21"/>
      <c r="J64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4" spans="1:12" x14ac:dyDescent="0.3">
      <c r="A644" s="20"/>
      <c r="B644" s="20"/>
      <c r="C644" s="20"/>
      <c r="D644" s="29"/>
      <c r="E644" s="20"/>
      <c r="F644" s="20"/>
      <c r="G644" s="20"/>
      <c r="H64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4" s="21"/>
      <c r="J64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5" spans="1:12" x14ac:dyDescent="0.3">
      <c r="A645" s="20"/>
      <c r="B645" s="20"/>
      <c r="C645" s="20"/>
      <c r="D645" s="29"/>
      <c r="E645" s="20"/>
      <c r="F645" s="20"/>
      <c r="G645" s="20"/>
      <c r="H64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5" s="21"/>
      <c r="J64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6" spans="1:12" x14ac:dyDescent="0.3">
      <c r="A646" s="20"/>
      <c r="B646" s="20"/>
      <c r="C646" s="20"/>
      <c r="D646" s="29"/>
      <c r="E646" s="20"/>
      <c r="F646" s="20"/>
      <c r="G646" s="20"/>
      <c r="H64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6" s="21"/>
      <c r="J64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7" spans="1:12" x14ac:dyDescent="0.3">
      <c r="A647" s="20"/>
      <c r="B647" s="20"/>
      <c r="C647" s="20"/>
      <c r="D647" s="29"/>
      <c r="E647" s="20"/>
      <c r="F647" s="20"/>
      <c r="G647" s="20"/>
      <c r="H64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7" s="21"/>
      <c r="J64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8" spans="1:12" x14ac:dyDescent="0.3">
      <c r="A648" s="20"/>
      <c r="B648" s="20"/>
      <c r="C648" s="20"/>
      <c r="D648" s="29"/>
      <c r="E648" s="20"/>
      <c r="F648" s="20"/>
      <c r="G648" s="20"/>
      <c r="H64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8" s="21"/>
      <c r="J64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49" spans="1:12" x14ac:dyDescent="0.3">
      <c r="A649" s="20"/>
      <c r="B649" s="20"/>
      <c r="C649" s="20"/>
      <c r="D649" s="29"/>
      <c r="E649" s="20"/>
      <c r="F649" s="20"/>
      <c r="G649" s="20"/>
      <c r="H64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49" s="21"/>
      <c r="J64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4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4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0" spans="1:12" x14ac:dyDescent="0.3">
      <c r="A650" s="20"/>
      <c r="B650" s="20"/>
      <c r="C650" s="20"/>
      <c r="D650" s="29"/>
      <c r="E650" s="20"/>
      <c r="F650" s="20"/>
      <c r="G650" s="20"/>
      <c r="H65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0" s="21"/>
      <c r="J65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1" spans="1:12" x14ac:dyDescent="0.3">
      <c r="A651" s="20"/>
      <c r="B651" s="20"/>
      <c r="C651" s="20"/>
      <c r="D651" s="29"/>
      <c r="E651" s="20"/>
      <c r="F651" s="20"/>
      <c r="G651" s="20"/>
      <c r="H65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1" s="21"/>
      <c r="J65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2" spans="1:12" x14ac:dyDescent="0.3">
      <c r="A652" s="20"/>
      <c r="B652" s="20"/>
      <c r="C652" s="20"/>
      <c r="D652" s="29"/>
      <c r="E652" s="20"/>
      <c r="F652" s="20"/>
      <c r="G652" s="20"/>
      <c r="H65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2" s="21"/>
      <c r="J65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3" spans="1:12" x14ac:dyDescent="0.3">
      <c r="A653" s="20"/>
      <c r="B653" s="20"/>
      <c r="C653" s="20"/>
      <c r="D653" s="29"/>
      <c r="E653" s="20"/>
      <c r="F653" s="20"/>
      <c r="G653" s="20"/>
      <c r="H65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3" s="21"/>
      <c r="J65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4" spans="1:12" x14ac:dyDescent="0.3">
      <c r="A654" s="20"/>
      <c r="B654" s="20"/>
      <c r="C654" s="20"/>
      <c r="D654" s="29"/>
      <c r="E654" s="20"/>
      <c r="F654" s="20"/>
      <c r="G654" s="20"/>
      <c r="H65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4" s="21"/>
      <c r="J65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5" spans="1:12" x14ac:dyDescent="0.3">
      <c r="A655" s="20"/>
      <c r="B655" s="20"/>
      <c r="C655" s="20"/>
      <c r="D655" s="29"/>
      <c r="E655" s="20"/>
      <c r="F655" s="20"/>
      <c r="G655" s="20"/>
      <c r="H65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5" s="21"/>
      <c r="J65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6" spans="1:12" x14ac:dyDescent="0.3">
      <c r="A656" s="20"/>
      <c r="B656" s="20"/>
      <c r="C656" s="20"/>
      <c r="D656" s="29"/>
      <c r="E656" s="20"/>
      <c r="F656" s="20"/>
      <c r="G656" s="20"/>
      <c r="H65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6" s="21"/>
      <c r="J65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7" spans="1:12" x14ac:dyDescent="0.3">
      <c r="A657" s="20"/>
      <c r="B657" s="20"/>
      <c r="C657" s="20"/>
      <c r="D657" s="29"/>
      <c r="E657" s="20"/>
      <c r="F657" s="20"/>
      <c r="G657" s="20"/>
      <c r="H65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7" s="21"/>
      <c r="J65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8" spans="1:12" x14ac:dyDescent="0.3">
      <c r="A658" s="20"/>
      <c r="B658" s="20"/>
      <c r="C658" s="20"/>
      <c r="D658" s="29"/>
      <c r="E658" s="20"/>
      <c r="F658" s="20"/>
      <c r="G658" s="20"/>
      <c r="H65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8" s="21"/>
      <c r="J65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59" spans="1:12" x14ac:dyDescent="0.3">
      <c r="A659" s="20"/>
      <c r="B659" s="20"/>
      <c r="C659" s="20"/>
      <c r="D659" s="29"/>
      <c r="E659" s="20"/>
      <c r="F659" s="20"/>
      <c r="G659" s="20"/>
      <c r="H65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59" s="21"/>
      <c r="J65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5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5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0" spans="1:12" x14ac:dyDescent="0.3">
      <c r="A660" s="20"/>
      <c r="B660" s="20"/>
      <c r="C660" s="20"/>
      <c r="D660" s="29"/>
      <c r="E660" s="20"/>
      <c r="F660" s="20"/>
      <c r="G660" s="20"/>
      <c r="H66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0" s="21"/>
      <c r="J66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1" spans="1:12" x14ac:dyDescent="0.3">
      <c r="A661" s="20"/>
      <c r="B661" s="20"/>
      <c r="C661" s="20"/>
      <c r="D661" s="29"/>
      <c r="E661" s="20"/>
      <c r="F661" s="20"/>
      <c r="G661" s="20"/>
      <c r="H66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1" s="21"/>
      <c r="J66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2" spans="1:12" x14ac:dyDescent="0.3">
      <c r="A662" s="20"/>
      <c r="B662" s="20"/>
      <c r="C662" s="20"/>
      <c r="D662" s="29"/>
      <c r="E662" s="20"/>
      <c r="F662" s="20"/>
      <c r="G662" s="20"/>
      <c r="H66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2" s="21"/>
      <c r="J66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3" spans="1:12" x14ac:dyDescent="0.3">
      <c r="A663" s="20"/>
      <c r="B663" s="20"/>
      <c r="C663" s="20"/>
      <c r="D663" s="29"/>
      <c r="E663" s="20"/>
      <c r="F663" s="20"/>
      <c r="G663" s="20"/>
      <c r="H66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3" s="21"/>
      <c r="J66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4" spans="1:12" x14ac:dyDescent="0.3">
      <c r="A664" s="20"/>
      <c r="B664" s="20"/>
      <c r="C664" s="20"/>
      <c r="D664" s="29"/>
      <c r="E664" s="20"/>
      <c r="F664" s="20"/>
      <c r="G664" s="20"/>
      <c r="H66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4" s="21"/>
      <c r="J66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5" spans="1:12" x14ac:dyDescent="0.3">
      <c r="A665" s="20"/>
      <c r="B665" s="20"/>
      <c r="C665" s="20"/>
      <c r="D665" s="29"/>
      <c r="E665" s="20"/>
      <c r="F665" s="20"/>
      <c r="G665" s="20"/>
      <c r="H66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5" s="21"/>
      <c r="J66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6" spans="1:12" x14ac:dyDescent="0.3">
      <c r="A666" s="20"/>
      <c r="B666" s="20"/>
      <c r="C666" s="20"/>
      <c r="D666" s="29"/>
      <c r="E666" s="20"/>
      <c r="F666" s="20"/>
      <c r="G666" s="20"/>
      <c r="H66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6" s="21"/>
      <c r="J66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7" spans="1:12" x14ac:dyDescent="0.3">
      <c r="A667" s="20"/>
      <c r="B667" s="20"/>
      <c r="C667" s="20"/>
      <c r="D667" s="29"/>
      <c r="E667" s="20"/>
      <c r="F667" s="20"/>
      <c r="G667" s="20"/>
      <c r="H66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7" s="21"/>
      <c r="J66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8" spans="1:12" x14ac:dyDescent="0.3">
      <c r="A668" s="20"/>
      <c r="B668" s="20"/>
      <c r="C668" s="20"/>
      <c r="D668" s="29"/>
      <c r="E668" s="20"/>
      <c r="F668" s="20"/>
      <c r="G668" s="20"/>
      <c r="H66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8" s="21"/>
      <c r="J66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69" spans="1:12" x14ac:dyDescent="0.3">
      <c r="A669" s="20"/>
      <c r="B669" s="20"/>
      <c r="C669" s="20"/>
      <c r="D669" s="29"/>
      <c r="E669" s="20"/>
      <c r="F669" s="20"/>
      <c r="G669" s="20"/>
      <c r="H66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69" s="21"/>
      <c r="J66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6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6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0" spans="1:12" x14ac:dyDescent="0.3">
      <c r="A670" s="20"/>
      <c r="B670" s="20"/>
      <c r="C670" s="20"/>
      <c r="D670" s="29"/>
      <c r="E670" s="20"/>
      <c r="F670" s="20"/>
      <c r="G670" s="20"/>
      <c r="H67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0" s="21"/>
      <c r="J67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1" spans="1:12" x14ac:dyDescent="0.3">
      <c r="A671" s="20"/>
      <c r="B671" s="20"/>
      <c r="C671" s="20"/>
      <c r="D671" s="29"/>
      <c r="E671" s="20"/>
      <c r="F671" s="20"/>
      <c r="G671" s="20"/>
      <c r="H67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1" s="21"/>
      <c r="J67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2" spans="1:12" x14ac:dyDescent="0.3">
      <c r="A672" s="20"/>
      <c r="B672" s="20"/>
      <c r="C672" s="20"/>
      <c r="D672" s="29"/>
      <c r="E672" s="20"/>
      <c r="F672" s="20"/>
      <c r="G672" s="20"/>
      <c r="H67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2" s="21"/>
      <c r="J67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3" spans="1:12" x14ac:dyDescent="0.3">
      <c r="A673" s="20"/>
      <c r="B673" s="20"/>
      <c r="C673" s="20"/>
      <c r="D673" s="29"/>
      <c r="E673" s="20"/>
      <c r="F673" s="20"/>
      <c r="G673" s="20"/>
      <c r="H67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3" s="21"/>
      <c r="J67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4" spans="1:12" x14ac:dyDescent="0.3">
      <c r="A674" s="20"/>
      <c r="B674" s="20"/>
      <c r="C674" s="20"/>
      <c r="D674" s="29"/>
      <c r="E674" s="20"/>
      <c r="F674" s="20"/>
      <c r="G674" s="20"/>
      <c r="H67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4" s="21"/>
      <c r="J67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5" spans="1:12" x14ac:dyDescent="0.3">
      <c r="A675" s="20"/>
      <c r="B675" s="20"/>
      <c r="C675" s="20"/>
      <c r="D675" s="29"/>
      <c r="E675" s="20"/>
      <c r="F675" s="20"/>
      <c r="G675" s="20"/>
      <c r="H67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5" s="21"/>
      <c r="J67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6" spans="1:12" x14ac:dyDescent="0.3">
      <c r="A676" s="20"/>
      <c r="B676" s="20"/>
      <c r="C676" s="20"/>
      <c r="D676" s="29"/>
      <c r="E676" s="20"/>
      <c r="F676" s="20"/>
      <c r="G676" s="20"/>
      <c r="H67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6" s="21"/>
      <c r="J67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7" spans="1:12" x14ac:dyDescent="0.3">
      <c r="A677" s="20"/>
      <c r="B677" s="20"/>
      <c r="C677" s="20"/>
      <c r="D677" s="29"/>
      <c r="E677" s="20"/>
      <c r="F677" s="20"/>
      <c r="G677" s="20"/>
      <c r="H67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7" s="21"/>
      <c r="J67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8" spans="1:12" x14ac:dyDescent="0.3">
      <c r="A678" s="20"/>
      <c r="B678" s="20"/>
      <c r="C678" s="20"/>
      <c r="D678" s="29"/>
      <c r="E678" s="20"/>
      <c r="F678" s="20"/>
      <c r="G678" s="20"/>
      <c r="H67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8" s="21"/>
      <c r="J67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79" spans="1:12" x14ac:dyDescent="0.3">
      <c r="A679" s="20"/>
      <c r="B679" s="20"/>
      <c r="C679" s="20"/>
      <c r="D679" s="29"/>
      <c r="E679" s="20"/>
      <c r="F679" s="20"/>
      <c r="G679" s="20"/>
      <c r="H67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79" s="21"/>
      <c r="J67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7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7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0" spans="1:12" x14ac:dyDescent="0.3">
      <c r="A680" s="20"/>
      <c r="B680" s="20"/>
      <c r="C680" s="20"/>
      <c r="D680" s="29"/>
      <c r="E680" s="20"/>
      <c r="F680" s="20"/>
      <c r="G680" s="20"/>
      <c r="H68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0" s="21"/>
      <c r="J68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1" spans="1:12" x14ac:dyDescent="0.3">
      <c r="A681" s="20"/>
      <c r="B681" s="20"/>
      <c r="C681" s="20"/>
      <c r="D681" s="29"/>
      <c r="E681" s="20"/>
      <c r="F681" s="20"/>
      <c r="G681" s="20"/>
      <c r="H68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1" s="21"/>
      <c r="J68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2" spans="1:12" x14ac:dyDescent="0.3">
      <c r="A682" s="20"/>
      <c r="B682" s="20"/>
      <c r="C682" s="20"/>
      <c r="D682" s="29"/>
      <c r="E682" s="20"/>
      <c r="F682" s="20"/>
      <c r="G682" s="20"/>
      <c r="H68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2" s="21"/>
      <c r="J68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3" spans="1:12" x14ac:dyDescent="0.3">
      <c r="A683" s="20"/>
      <c r="B683" s="20"/>
      <c r="C683" s="20"/>
      <c r="D683" s="29"/>
      <c r="E683" s="20"/>
      <c r="F683" s="20"/>
      <c r="G683" s="20"/>
      <c r="H68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3" s="21"/>
      <c r="J68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4" spans="1:12" x14ac:dyDescent="0.3">
      <c r="A684" s="20"/>
      <c r="B684" s="20"/>
      <c r="C684" s="20"/>
      <c r="D684" s="29"/>
      <c r="E684" s="20"/>
      <c r="F684" s="20"/>
      <c r="G684" s="20"/>
      <c r="H68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4" s="21"/>
      <c r="J68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5" spans="1:12" x14ac:dyDescent="0.3">
      <c r="A685" s="20"/>
      <c r="B685" s="20"/>
      <c r="C685" s="20"/>
      <c r="D685" s="29"/>
      <c r="E685" s="20"/>
      <c r="F685" s="20"/>
      <c r="G685" s="20"/>
      <c r="H68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5" s="21"/>
      <c r="J68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6" spans="1:12" x14ac:dyDescent="0.3">
      <c r="A686" s="20"/>
      <c r="B686" s="20"/>
      <c r="C686" s="20"/>
      <c r="D686" s="29"/>
      <c r="E686" s="20"/>
      <c r="F686" s="20"/>
      <c r="G686" s="20"/>
      <c r="H68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6" s="21"/>
      <c r="J68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7" spans="1:12" x14ac:dyDescent="0.3">
      <c r="A687" s="20"/>
      <c r="B687" s="20"/>
      <c r="C687" s="20"/>
      <c r="D687" s="29"/>
      <c r="E687" s="20"/>
      <c r="F687" s="20"/>
      <c r="G687" s="20"/>
      <c r="H68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7" s="21"/>
      <c r="J68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8" spans="1:12" x14ac:dyDescent="0.3">
      <c r="A688" s="20"/>
      <c r="B688" s="20"/>
      <c r="C688" s="20"/>
      <c r="D688" s="29"/>
      <c r="E688" s="20"/>
      <c r="F688" s="20"/>
      <c r="G688" s="20"/>
      <c r="H68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8" s="21"/>
      <c r="J68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89" spans="1:12" x14ac:dyDescent="0.3">
      <c r="A689" s="20"/>
      <c r="B689" s="20"/>
      <c r="C689" s="20"/>
      <c r="D689" s="29"/>
      <c r="E689" s="20"/>
      <c r="F689" s="20"/>
      <c r="G689" s="20"/>
      <c r="H68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89" s="21"/>
      <c r="J68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8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8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0" spans="1:12" x14ac:dyDescent="0.3">
      <c r="A690" s="20"/>
      <c r="B690" s="20"/>
      <c r="C690" s="20"/>
      <c r="D690" s="29"/>
      <c r="E690" s="20"/>
      <c r="F690" s="20"/>
      <c r="G690" s="20"/>
      <c r="H69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0" s="21"/>
      <c r="J69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1" spans="1:12" x14ac:dyDescent="0.3">
      <c r="A691" s="20"/>
      <c r="B691" s="20"/>
      <c r="C691" s="20"/>
      <c r="D691" s="29"/>
      <c r="E691" s="20"/>
      <c r="F691" s="20"/>
      <c r="G691" s="20"/>
      <c r="H69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1" s="21"/>
      <c r="J69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2" spans="1:12" x14ac:dyDescent="0.3">
      <c r="A692" s="20"/>
      <c r="B692" s="20"/>
      <c r="C692" s="20"/>
      <c r="D692" s="29"/>
      <c r="E692" s="20"/>
      <c r="F692" s="20"/>
      <c r="G692" s="20"/>
      <c r="H69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2" s="21"/>
      <c r="J69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3" spans="1:12" x14ac:dyDescent="0.3">
      <c r="A693" s="20"/>
      <c r="B693" s="20"/>
      <c r="C693" s="20"/>
      <c r="D693" s="29"/>
      <c r="E693" s="20"/>
      <c r="F693" s="20"/>
      <c r="G693" s="20"/>
      <c r="H69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3" s="21"/>
      <c r="J69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4" spans="1:12" x14ac:dyDescent="0.3">
      <c r="A694" s="20"/>
      <c r="B694" s="20"/>
      <c r="C694" s="20"/>
      <c r="D694" s="29"/>
      <c r="E694" s="20"/>
      <c r="F694" s="20"/>
      <c r="G694" s="20"/>
      <c r="H69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4" s="21"/>
      <c r="J69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5" spans="1:12" x14ac:dyDescent="0.3">
      <c r="A695" s="20"/>
      <c r="B695" s="20"/>
      <c r="C695" s="20"/>
      <c r="D695" s="29"/>
      <c r="E695" s="20"/>
      <c r="F695" s="20"/>
      <c r="G695" s="20"/>
      <c r="H69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5" s="21"/>
      <c r="J69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6" spans="1:12" x14ac:dyDescent="0.3">
      <c r="A696" s="20"/>
      <c r="B696" s="20"/>
      <c r="C696" s="20"/>
      <c r="D696" s="29"/>
      <c r="E696" s="20"/>
      <c r="F696" s="20"/>
      <c r="G696" s="20"/>
      <c r="H69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6" s="21"/>
      <c r="J69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7" spans="1:12" x14ac:dyDescent="0.3">
      <c r="A697" s="20"/>
      <c r="B697" s="20"/>
      <c r="C697" s="20"/>
      <c r="D697" s="29"/>
      <c r="E697" s="20"/>
      <c r="F697" s="20"/>
      <c r="G697" s="20"/>
      <c r="H69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7" s="21"/>
      <c r="J69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8" spans="1:12" x14ac:dyDescent="0.3">
      <c r="A698" s="20"/>
      <c r="B698" s="20"/>
      <c r="C698" s="20"/>
      <c r="D698" s="29"/>
      <c r="E698" s="20"/>
      <c r="F698" s="20"/>
      <c r="G698" s="20"/>
      <c r="H69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8" s="21"/>
      <c r="J69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699" spans="1:12" x14ac:dyDescent="0.3">
      <c r="A699" s="20"/>
      <c r="B699" s="20"/>
      <c r="C699" s="20"/>
      <c r="D699" s="29"/>
      <c r="E699" s="20"/>
      <c r="F699" s="20"/>
      <c r="G699" s="20"/>
      <c r="H69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699" s="21"/>
      <c r="J69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69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69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0" spans="1:12" x14ac:dyDescent="0.3">
      <c r="A700" s="20"/>
      <c r="B700" s="20"/>
      <c r="C700" s="20"/>
      <c r="D700" s="29"/>
      <c r="E700" s="20"/>
      <c r="F700" s="20"/>
      <c r="G700" s="20"/>
      <c r="H70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0" s="21"/>
      <c r="J70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1" spans="1:12" x14ac:dyDescent="0.3">
      <c r="A701" s="20"/>
      <c r="B701" s="20"/>
      <c r="C701" s="20"/>
      <c r="D701" s="29"/>
      <c r="E701" s="20"/>
      <c r="F701" s="20"/>
      <c r="G701" s="20"/>
      <c r="H70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1" s="21"/>
      <c r="J70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2" spans="1:12" x14ac:dyDescent="0.3">
      <c r="A702" s="20"/>
      <c r="B702" s="20"/>
      <c r="C702" s="20"/>
      <c r="D702" s="29"/>
      <c r="E702" s="20"/>
      <c r="F702" s="20"/>
      <c r="G702" s="20"/>
      <c r="H70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2" s="21"/>
      <c r="J70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3" spans="1:12" x14ac:dyDescent="0.3">
      <c r="A703" s="20"/>
      <c r="B703" s="20"/>
      <c r="C703" s="20"/>
      <c r="D703" s="29"/>
      <c r="E703" s="20"/>
      <c r="F703" s="20"/>
      <c r="G703" s="20"/>
      <c r="H70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3" s="21"/>
      <c r="J70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4" spans="1:12" x14ac:dyDescent="0.3">
      <c r="A704" s="20"/>
      <c r="B704" s="20"/>
      <c r="C704" s="20"/>
      <c r="D704" s="29"/>
      <c r="E704" s="20"/>
      <c r="F704" s="20"/>
      <c r="G704" s="20"/>
      <c r="H70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4" s="21"/>
      <c r="J70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5" spans="1:12" x14ac:dyDescent="0.3">
      <c r="A705" s="20"/>
      <c r="B705" s="20"/>
      <c r="C705" s="20"/>
      <c r="D705" s="29"/>
      <c r="E705" s="20"/>
      <c r="F705" s="20"/>
      <c r="G705" s="20"/>
      <c r="H70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5" s="21"/>
      <c r="J70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6" spans="1:12" x14ac:dyDescent="0.3">
      <c r="A706" s="20"/>
      <c r="B706" s="20"/>
      <c r="C706" s="20"/>
      <c r="D706" s="29"/>
      <c r="E706" s="20"/>
      <c r="F706" s="20"/>
      <c r="G706" s="20"/>
      <c r="H70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6" s="21"/>
      <c r="J70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7" spans="1:12" x14ac:dyDescent="0.3">
      <c r="A707" s="20"/>
      <c r="B707" s="20"/>
      <c r="C707" s="20"/>
      <c r="D707" s="29"/>
      <c r="E707" s="20"/>
      <c r="F707" s="20"/>
      <c r="G707" s="20"/>
      <c r="H70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7" s="21"/>
      <c r="J70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8" spans="1:12" x14ac:dyDescent="0.3">
      <c r="A708" s="20"/>
      <c r="B708" s="20"/>
      <c r="C708" s="20"/>
      <c r="D708" s="29"/>
      <c r="E708" s="20"/>
      <c r="F708" s="20"/>
      <c r="G708" s="20"/>
      <c r="H70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8" s="21"/>
      <c r="J70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09" spans="1:12" x14ac:dyDescent="0.3">
      <c r="A709" s="20"/>
      <c r="B709" s="20"/>
      <c r="C709" s="20"/>
      <c r="D709" s="29"/>
      <c r="E709" s="20"/>
      <c r="F709" s="20"/>
      <c r="G709" s="20"/>
      <c r="H70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09" s="21"/>
      <c r="J70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0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0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0" spans="1:12" x14ac:dyDescent="0.3">
      <c r="A710" s="20"/>
      <c r="B710" s="20"/>
      <c r="C710" s="20"/>
      <c r="D710" s="29"/>
      <c r="E710" s="20"/>
      <c r="F710" s="20"/>
      <c r="G710" s="20"/>
      <c r="H71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0" s="21"/>
      <c r="J71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1" spans="1:12" x14ac:dyDescent="0.3">
      <c r="A711" s="20"/>
      <c r="B711" s="20"/>
      <c r="C711" s="20"/>
      <c r="D711" s="29"/>
      <c r="E711" s="20"/>
      <c r="F711" s="20"/>
      <c r="G711" s="20"/>
      <c r="H71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1" s="21"/>
      <c r="J71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2" spans="1:12" x14ac:dyDescent="0.3">
      <c r="A712" s="20"/>
      <c r="B712" s="20"/>
      <c r="C712" s="20"/>
      <c r="D712" s="29"/>
      <c r="E712" s="20"/>
      <c r="F712" s="20"/>
      <c r="G712" s="20"/>
      <c r="H71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2" s="21"/>
      <c r="J71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3" spans="1:12" x14ac:dyDescent="0.3">
      <c r="A713" s="20"/>
      <c r="B713" s="20"/>
      <c r="C713" s="20"/>
      <c r="D713" s="29"/>
      <c r="E713" s="20"/>
      <c r="F713" s="20"/>
      <c r="G713" s="20"/>
      <c r="H71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3" s="21"/>
      <c r="J71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4" spans="1:12" x14ac:dyDescent="0.3">
      <c r="A714" s="20"/>
      <c r="B714" s="20"/>
      <c r="C714" s="20"/>
      <c r="D714" s="29"/>
      <c r="E714" s="20"/>
      <c r="F714" s="20"/>
      <c r="G714" s="20"/>
      <c r="H71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4" s="21"/>
      <c r="J71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5" spans="1:12" x14ac:dyDescent="0.3">
      <c r="A715" s="20"/>
      <c r="B715" s="20"/>
      <c r="C715" s="20"/>
      <c r="D715" s="29"/>
      <c r="E715" s="20"/>
      <c r="F715" s="20"/>
      <c r="G715" s="20"/>
      <c r="H71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5" s="21"/>
      <c r="J71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6" spans="1:12" x14ac:dyDescent="0.3">
      <c r="A716" s="20"/>
      <c r="B716" s="20"/>
      <c r="C716" s="20"/>
      <c r="D716" s="29"/>
      <c r="E716" s="20"/>
      <c r="F716" s="20"/>
      <c r="G716" s="20"/>
      <c r="H71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6" s="21"/>
      <c r="J71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7" spans="1:12" x14ac:dyDescent="0.3">
      <c r="A717" s="20"/>
      <c r="B717" s="20"/>
      <c r="C717" s="20"/>
      <c r="D717" s="29"/>
      <c r="E717" s="20"/>
      <c r="F717" s="20"/>
      <c r="G717" s="20"/>
      <c r="H71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7" s="21"/>
      <c r="J71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8" spans="1:12" x14ac:dyDescent="0.3">
      <c r="A718" s="20"/>
      <c r="B718" s="20"/>
      <c r="C718" s="20"/>
      <c r="D718" s="29"/>
      <c r="E718" s="20"/>
      <c r="F718" s="20"/>
      <c r="G718" s="20"/>
      <c r="H71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8" s="21"/>
      <c r="J71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19" spans="1:12" x14ac:dyDescent="0.3">
      <c r="A719" s="20"/>
      <c r="B719" s="20"/>
      <c r="C719" s="20"/>
      <c r="D719" s="29"/>
      <c r="E719" s="20"/>
      <c r="F719" s="20"/>
      <c r="G719" s="20"/>
      <c r="H71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19" s="21"/>
      <c r="J71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1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1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0" spans="1:12" x14ac:dyDescent="0.3">
      <c r="A720" s="20"/>
      <c r="B720" s="20"/>
      <c r="C720" s="20"/>
      <c r="D720" s="29"/>
      <c r="E720" s="20"/>
      <c r="F720" s="20"/>
      <c r="G720" s="20"/>
      <c r="H72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0" s="21"/>
      <c r="J72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1" spans="1:12" x14ac:dyDescent="0.3">
      <c r="A721" s="20"/>
      <c r="B721" s="20"/>
      <c r="C721" s="20"/>
      <c r="D721" s="29"/>
      <c r="E721" s="20"/>
      <c r="F721" s="20"/>
      <c r="G721" s="20"/>
      <c r="H72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1" s="21"/>
      <c r="J72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2" spans="1:12" x14ac:dyDescent="0.3">
      <c r="A722" s="20"/>
      <c r="B722" s="20"/>
      <c r="C722" s="20"/>
      <c r="D722" s="29"/>
      <c r="E722" s="20"/>
      <c r="F722" s="20"/>
      <c r="G722" s="20"/>
      <c r="H72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2" s="21"/>
      <c r="J72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3" spans="1:12" x14ac:dyDescent="0.3">
      <c r="A723" s="20"/>
      <c r="B723" s="20"/>
      <c r="C723" s="20"/>
      <c r="D723" s="29"/>
      <c r="E723" s="20"/>
      <c r="F723" s="20"/>
      <c r="G723" s="20"/>
      <c r="H72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3" s="21"/>
      <c r="J72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4" spans="1:12" x14ac:dyDescent="0.3">
      <c r="A724" s="20"/>
      <c r="B724" s="20"/>
      <c r="C724" s="20"/>
      <c r="D724" s="29"/>
      <c r="E724" s="20"/>
      <c r="F724" s="20"/>
      <c r="G724" s="20"/>
      <c r="H72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4" s="21"/>
      <c r="J72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5" spans="1:12" x14ac:dyDescent="0.3">
      <c r="A725" s="20"/>
      <c r="B725" s="20"/>
      <c r="C725" s="20"/>
      <c r="D725" s="29"/>
      <c r="E725" s="20"/>
      <c r="F725" s="20"/>
      <c r="G725" s="20"/>
      <c r="H72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5" s="21"/>
      <c r="J72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6" spans="1:12" x14ac:dyDescent="0.3">
      <c r="A726" s="20"/>
      <c r="B726" s="20"/>
      <c r="C726" s="20"/>
      <c r="D726" s="29"/>
      <c r="E726" s="20"/>
      <c r="F726" s="20"/>
      <c r="G726" s="20"/>
      <c r="H72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6" s="21"/>
      <c r="J72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7" spans="1:12" x14ac:dyDescent="0.3">
      <c r="A727" s="20"/>
      <c r="B727" s="20"/>
      <c r="C727" s="20"/>
      <c r="D727" s="29"/>
      <c r="E727" s="20"/>
      <c r="F727" s="20"/>
      <c r="G727" s="20"/>
      <c r="H72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7" s="21"/>
      <c r="J72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8" spans="1:12" x14ac:dyDescent="0.3">
      <c r="A728" s="20"/>
      <c r="B728" s="20"/>
      <c r="C728" s="20"/>
      <c r="D728" s="29"/>
      <c r="E728" s="20"/>
      <c r="F728" s="20"/>
      <c r="G728" s="20"/>
      <c r="H72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8" s="21"/>
      <c r="J72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29" spans="1:12" x14ac:dyDescent="0.3">
      <c r="A729" s="20"/>
      <c r="B729" s="20"/>
      <c r="C729" s="20"/>
      <c r="D729" s="29"/>
      <c r="E729" s="20"/>
      <c r="F729" s="20"/>
      <c r="G729" s="20"/>
      <c r="H72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29" s="21"/>
      <c r="J72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2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2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0" spans="1:12" x14ac:dyDescent="0.3">
      <c r="A730" s="20"/>
      <c r="B730" s="20"/>
      <c r="C730" s="20"/>
      <c r="D730" s="29"/>
      <c r="E730" s="20"/>
      <c r="F730" s="20"/>
      <c r="G730" s="20"/>
      <c r="H73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0" s="21"/>
      <c r="J73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1" spans="1:12" x14ac:dyDescent="0.3">
      <c r="A731" s="20"/>
      <c r="B731" s="20"/>
      <c r="C731" s="20"/>
      <c r="D731" s="29"/>
      <c r="E731" s="20"/>
      <c r="F731" s="20"/>
      <c r="G731" s="20"/>
      <c r="H73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1" s="21"/>
      <c r="J73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2" spans="1:12" x14ac:dyDescent="0.3">
      <c r="A732" s="20"/>
      <c r="B732" s="20"/>
      <c r="C732" s="20"/>
      <c r="D732" s="29"/>
      <c r="E732" s="20"/>
      <c r="F732" s="20"/>
      <c r="G732" s="20"/>
      <c r="H73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2" s="20"/>
      <c r="J73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3" spans="1:12" x14ac:dyDescent="0.3">
      <c r="A733" s="20"/>
      <c r="B733" s="20"/>
      <c r="C733" s="20"/>
      <c r="D733" s="29"/>
      <c r="E733" s="20"/>
      <c r="F733" s="20"/>
      <c r="G733" s="20"/>
      <c r="H73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3" s="20"/>
      <c r="J73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4" spans="1:12" x14ac:dyDescent="0.3">
      <c r="A734" s="20"/>
      <c r="B734" s="20"/>
      <c r="C734" s="20"/>
      <c r="D734" s="29"/>
      <c r="E734" s="20"/>
      <c r="F734" s="20"/>
      <c r="G734" s="20"/>
      <c r="H73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4" s="20"/>
      <c r="J73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5" spans="1:12" x14ac:dyDescent="0.3">
      <c r="A735" s="20"/>
      <c r="B735" s="20"/>
      <c r="C735" s="20"/>
      <c r="D735" s="29"/>
      <c r="E735" s="20"/>
      <c r="F735" s="20"/>
      <c r="G735" s="20"/>
      <c r="H73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5" s="20"/>
      <c r="J73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6" spans="1:12" x14ac:dyDescent="0.3">
      <c r="A736" s="20"/>
      <c r="B736" s="20"/>
      <c r="C736" s="20"/>
      <c r="D736" s="29"/>
      <c r="E736" s="20"/>
      <c r="F736" s="20"/>
      <c r="G736" s="20"/>
      <c r="H73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6" s="20"/>
      <c r="J73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7" spans="1:12" x14ac:dyDescent="0.3">
      <c r="A737" s="20"/>
      <c r="B737" s="20"/>
      <c r="C737" s="20"/>
      <c r="D737" s="29"/>
      <c r="E737" s="20"/>
      <c r="F737" s="20"/>
      <c r="G737" s="20"/>
      <c r="H73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7" s="20"/>
      <c r="J73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8" spans="1:12" x14ac:dyDescent="0.3">
      <c r="A738" s="20"/>
      <c r="B738" s="20"/>
      <c r="C738" s="20"/>
      <c r="D738" s="29"/>
      <c r="E738" s="20"/>
      <c r="F738" s="20"/>
      <c r="G738" s="20"/>
      <c r="H73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8" s="20"/>
      <c r="J73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39" spans="1:12" x14ac:dyDescent="0.3">
      <c r="A739" s="20"/>
      <c r="B739" s="20"/>
      <c r="C739" s="20"/>
      <c r="D739" s="29"/>
      <c r="E739" s="20"/>
      <c r="F739" s="20"/>
      <c r="G739" s="20"/>
      <c r="H73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39" s="20"/>
      <c r="J73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3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3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0" spans="1:12" x14ac:dyDescent="0.3">
      <c r="A740" s="20"/>
      <c r="B740" s="20"/>
      <c r="C740" s="20"/>
      <c r="D740" s="29"/>
      <c r="E740" s="20"/>
      <c r="F740" s="20"/>
      <c r="G740" s="20"/>
      <c r="H74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0" s="20"/>
      <c r="J74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1" spans="1:12" x14ac:dyDescent="0.3">
      <c r="A741" s="20"/>
      <c r="B741" s="20"/>
      <c r="C741" s="20"/>
      <c r="D741" s="29"/>
      <c r="E741" s="20"/>
      <c r="F741" s="20"/>
      <c r="G741" s="20"/>
      <c r="H74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1" s="20"/>
      <c r="J74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2" spans="1:12" x14ac:dyDescent="0.3">
      <c r="A742" s="20"/>
      <c r="B742" s="20"/>
      <c r="C742" s="20"/>
      <c r="D742" s="29"/>
      <c r="E742" s="20"/>
      <c r="F742" s="20"/>
      <c r="G742" s="20"/>
      <c r="H74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2" s="20"/>
      <c r="J74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3" spans="1:12" x14ac:dyDescent="0.3">
      <c r="A743" s="20"/>
      <c r="B743" s="20"/>
      <c r="C743" s="20"/>
      <c r="D743" s="29"/>
      <c r="E743" s="20"/>
      <c r="F743" s="20"/>
      <c r="G743" s="20"/>
      <c r="H74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3" s="20"/>
      <c r="J74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4" spans="1:12" x14ac:dyDescent="0.3">
      <c r="A744" s="20"/>
      <c r="B744" s="20"/>
      <c r="C744" s="20"/>
      <c r="D744" s="29"/>
      <c r="E744" s="20"/>
      <c r="F744" s="20"/>
      <c r="G744" s="20"/>
      <c r="H74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4" s="20"/>
      <c r="J74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5" spans="1:12" x14ac:dyDescent="0.3">
      <c r="A745" s="20"/>
      <c r="B745" s="20"/>
      <c r="C745" s="20"/>
      <c r="D745" s="29"/>
      <c r="E745" s="20"/>
      <c r="F745" s="20"/>
      <c r="G745" s="20"/>
      <c r="H74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5" s="20"/>
      <c r="J74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6" spans="1:12" x14ac:dyDescent="0.3">
      <c r="A746" s="20"/>
      <c r="B746" s="20"/>
      <c r="C746" s="20"/>
      <c r="D746" s="29"/>
      <c r="E746" s="20"/>
      <c r="F746" s="20"/>
      <c r="G746" s="20"/>
      <c r="H74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6" s="20"/>
      <c r="J74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7" spans="1:12" x14ac:dyDescent="0.3">
      <c r="A747" s="20"/>
      <c r="B747" s="20"/>
      <c r="C747" s="20"/>
      <c r="D747" s="29"/>
      <c r="E747" s="20"/>
      <c r="F747" s="20"/>
      <c r="G747" s="20"/>
      <c r="H74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7" s="20"/>
      <c r="J74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8" spans="1:12" x14ac:dyDescent="0.3">
      <c r="A748" s="20"/>
      <c r="B748" s="20"/>
      <c r="C748" s="20"/>
      <c r="D748" s="29"/>
      <c r="E748" s="20"/>
      <c r="F748" s="20"/>
      <c r="G748" s="20"/>
      <c r="H74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8" s="20"/>
      <c r="J74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49" spans="1:12" x14ac:dyDescent="0.3">
      <c r="A749" s="20"/>
      <c r="B749" s="20"/>
      <c r="C749" s="20"/>
      <c r="D749" s="29"/>
      <c r="E749" s="20"/>
      <c r="F749" s="20"/>
      <c r="G749" s="20"/>
      <c r="H74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49" s="20"/>
      <c r="J74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4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4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0" spans="1:12" x14ac:dyDescent="0.3">
      <c r="A750" s="20"/>
      <c r="B750" s="20"/>
      <c r="C750" s="20"/>
      <c r="D750" s="29"/>
      <c r="E750" s="20"/>
      <c r="F750" s="20"/>
      <c r="G750" s="20"/>
      <c r="H75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0" s="20"/>
      <c r="J75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1" spans="1:12" x14ac:dyDescent="0.3">
      <c r="A751" s="20"/>
      <c r="B751" s="20"/>
      <c r="C751" s="20"/>
      <c r="D751" s="29"/>
      <c r="E751" s="20"/>
      <c r="F751" s="20"/>
      <c r="G751" s="20"/>
      <c r="H75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1" s="20"/>
      <c r="J75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2" spans="1:12" x14ac:dyDescent="0.3">
      <c r="A752" s="20"/>
      <c r="B752" s="20"/>
      <c r="C752" s="20"/>
      <c r="D752" s="29"/>
      <c r="E752" s="20"/>
      <c r="F752" s="20"/>
      <c r="G752" s="20"/>
      <c r="H75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2" s="20"/>
      <c r="J75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3" spans="1:12" x14ac:dyDescent="0.3">
      <c r="A753" s="20"/>
      <c r="B753" s="20"/>
      <c r="C753" s="20"/>
      <c r="D753" s="29"/>
      <c r="E753" s="20"/>
      <c r="F753" s="20"/>
      <c r="G753" s="20"/>
      <c r="H75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3" s="20"/>
      <c r="J75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4" spans="1:12" x14ac:dyDescent="0.3">
      <c r="A754" s="20"/>
      <c r="B754" s="20"/>
      <c r="C754" s="20"/>
      <c r="D754" s="29"/>
      <c r="E754" s="20"/>
      <c r="F754" s="20"/>
      <c r="G754" s="20"/>
      <c r="H75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4" s="20"/>
      <c r="J75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5" spans="1:12" x14ac:dyDescent="0.3">
      <c r="A755" s="20"/>
      <c r="B755" s="20"/>
      <c r="C755" s="20"/>
      <c r="D755" s="29"/>
      <c r="E755" s="20"/>
      <c r="F755" s="20"/>
      <c r="G755" s="20"/>
      <c r="H75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5" s="20"/>
      <c r="J75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6" spans="1:12" x14ac:dyDescent="0.3">
      <c r="A756" s="20"/>
      <c r="B756" s="20"/>
      <c r="C756" s="20"/>
      <c r="D756" s="29"/>
      <c r="E756" s="20"/>
      <c r="F756" s="20"/>
      <c r="G756" s="20"/>
      <c r="H75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6" s="20"/>
      <c r="J75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7" spans="1:12" x14ac:dyDescent="0.3">
      <c r="A757" s="20"/>
      <c r="B757" s="20"/>
      <c r="C757" s="20"/>
      <c r="D757" s="29"/>
      <c r="E757" s="20"/>
      <c r="F757" s="20"/>
      <c r="G757" s="20"/>
      <c r="H75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7" s="20"/>
      <c r="J75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8" spans="1:12" x14ac:dyDescent="0.3">
      <c r="A758" s="20"/>
      <c r="B758" s="20"/>
      <c r="C758" s="20"/>
      <c r="D758" s="29"/>
      <c r="E758" s="20"/>
      <c r="F758" s="20"/>
      <c r="G758" s="20"/>
      <c r="H75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8" s="20"/>
      <c r="J75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59" spans="1:12" x14ac:dyDescent="0.3">
      <c r="A759" s="20"/>
      <c r="B759" s="20"/>
      <c r="C759" s="20"/>
      <c r="D759" s="29"/>
      <c r="E759" s="20"/>
      <c r="F759" s="20"/>
      <c r="G759" s="20"/>
      <c r="H75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59" s="20"/>
      <c r="J75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5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5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0" spans="1:12" x14ac:dyDescent="0.3">
      <c r="A760" s="20"/>
      <c r="B760" s="20"/>
      <c r="C760" s="20"/>
      <c r="D760" s="29"/>
      <c r="E760" s="20"/>
      <c r="F760" s="20"/>
      <c r="G760" s="20"/>
      <c r="H76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0" s="20"/>
      <c r="J76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1" spans="1:12" x14ac:dyDescent="0.3">
      <c r="A761" s="20"/>
      <c r="B761" s="20"/>
      <c r="C761" s="20"/>
      <c r="D761" s="29"/>
      <c r="E761" s="20"/>
      <c r="F761" s="20"/>
      <c r="G761" s="20"/>
      <c r="H76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1" s="20"/>
      <c r="J76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2" spans="1:12" x14ac:dyDescent="0.3">
      <c r="A762" s="20"/>
      <c r="B762" s="20"/>
      <c r="C762" s="20"/>
      <c r="D762" s="29"/>
      <c r="E762" s="20"/>
      <c r="F762" s="20"/>
      <c r="G762" s="20"/>
      <c r="H76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2" s="20"/>
      <c r="J76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3" spans="1:12" x14ac:dyDescent="0.3">
      <c r="A763" s="20"/>
      <c r="B763" s="20"/>
      <c r="C763" s="20"/>
      <c r="D763" s="29"/>
      <c r="E763" s="20"/>
      <c r="F763" s="20"/>
      <c r="G763" s="20"/>
      <c r="H76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3" s="20"/>
      <c r="J76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4" spans="1:12" x14ac:dyDescent="0.3">
      <c r="A764" s="20"/>
      <c r="B764" s="20"/>
      <c r="C764" s="20"/>
      <c r="D764" s="29"/>
      <c r="E764" s="20"/>
      <c r="F764" s="20"/>
      <c r="G764" s="20"/>
      <c r="H76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4" s="20"/>
      <c r="J76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5" spans="1:12" x14ac:dyDescent="0.3">
      <c r="A765" s="20"/>
      <c r="B765" s="20"/>
      <c r="C765" s="20"/>
      <c r="D765" s="29"/>
      <c r="E765" s="20"/>
      <c r="F765" s="20"/>
      <c r="G765" s="20"/>
      <c r="H76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5" s="20"/>
      <c r="J76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6" spans="1:12" x14ac:dyDescent="0.3">
      <c r="A766" s="20"/>
      <c r="B766" s="20"/>
      <c r="C766" s="20"/>
      <c r="D766" s="29"/>
      <c r="E766" s="20"/>
      <c r="F766" s="20"/>
      <c r="G766" s="20"/>
      <c r="H76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6" s="20"/>
      <c r="J76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7" spans="1:12" x14ac:dyDescent="0.3">
      <c r="A767" s="20"/>
      <c r="B767" s="20"/>
      <c r="C767" s="20"/>
      <c r="D767" s="29"/>
      <c r="E767" s="20"/>
      <c r="F767" s="20"/>
      <c r="G767" s="20"/>
      <c r="H76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7" s="20"/>
      <c r="J76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8" spans="1:12" x14ac:dyDescent="0.3">
      <c r="A768" s="20"/>
      <c r="B768" s="20"/>
      <c r="C768" s="20"/>
      <c r="D768" s="29"/>
      <c r="E768" s="20"/>
      <c r="F768" s="20"/>
      <c r="G768" s="20"/>
      <c r="H76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8" s="20"/>
      <c r="J76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69" spans="1:12" x14ac:dyDescent="0.3">
      <c r="A769" s="20"/>
      <c r="B769" s="20"/>
      <c r="C769" s="20"/>
      <c r="D769" s="29"/>
      <c r="E769" s="20"/>
      <c r="F769" s="20"/>
      <c r="G769" s="20"/>
      <c r="H76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69" s="20"/>
      <c r="J76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6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6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0" spans="1:12" x14ac:dyDescent="0.3">
      <c r="A770" s="20"/>
      <c r="B770" s="20"/>
      <c r="C770" s="20"/>
      <c r="D770" s="29"/>
      <c r="E770" s="20"/>
      <c r="F770" s="20"/>
      <c r="G770" s="20"/>
      <c r="H77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0" s="20"/>
      <c r="J77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1" spans="1:12" x14ac:dyDescent="0.3">
      <c r="A771" s="20"/>
      <c r="B771" s="20"/>
      <c r="C771" s="20"/>
      <c r="D771" s="29"/>
      <c r="E771" s="20"/>
      <c r="F771" s="20"/>
      <c r="G771" s="20"/>
      <c r="H77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1" s="20"/>
      <c r="J77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2" spans="1:12" x14ac:dyDescent="0.3">
      <c r="A772" s="20"/>
      <c r="B772" s="20"/>
      <c r="C772" s="20"/>
      <c r="D772" s="29"/>
      <c r="E772" s="20"/>
      <c r="F772" s="20"/>
      <c r="G772" s="20"/>
      <c r="H77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2" s="20"/>
      <c r="J77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3" spans="1:12" x14ac:dyDescent="0.3">
      <c r="A773" s="20"/>
      <c r="B773" s="20"/>
      <c r="C773" s="20"/>
      <c r="D773" s="29"/>
      <c r="E773" s="20"/>
      <c r="F773" s="20"/>
      <c r="G773" s="20"/>
      <c r="H77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3" s="20"/>
      <c r="J77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4" spans="1:12" x14ac:dyDescent="0.3">
      <c r="A774" s="20"/>
      <c r="B774" s="20"/>
      <c r="C774" s="20"/>
      <c r="D774" s="29"/>
      <c r="E774" s="20"/>
      <c r="F774" s="20"/>
      <c r="G774" s="20"/>
      <c r="H77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4" s="20"/>
      <c r="J77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5" spans="1:12" x14ac:dyDescent="0.3">
      <c r="A775" s="20"/>
      <c r="B775" s="20"/>
      <c r="C775" s="20"/>
      <c r="D775" s="29"/>
      <c r="E775" s="20"/>
      <c r="F775" s="20"/>
      <c r="G775" s="20"/>
      <c r="H77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5" s="20"/>
      <c r="J77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6" spans="1:12" x14ac:dyDescent="0.3">
      <c r="A776" s="20"/>
      <c r="B776" s="20"/>
      <c r="C776" s="20"/>
      <c r="D776" s="29"/>
      <c r="E776" s="20"/>
      <c r="F776" s="20"/>
      <c r="G776" s="20"/>
      <c r="H77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6" s="20"/>
      <c r="J77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7" spans="1:12" x14ac:dyDescent="0.3">
      <c r="A777" s="20"/>
      <c r="B777" s="20"/>
      <c r="C777" s="20"/>
      <c r="D777" s="29"/>
      <c r="E777" s="20"/>
      <c r="F777" s="20"/>
      <c r="G777" s="20"/>
      <c r="H77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7" s="20"/>
      <c r="J77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8" spans="1:12" x14ac:dyDescent="0.3">
      <c r="A778" s="20"/>
      <c r="B778" s="20"/>
      <c r="C778" s="20"/>
      <c r="D778" s="29"/>
      <c r="E778" s="20"/>
      <c r="F778" s="20"/>
      <c r="G778" s="20"/>
      <c r="H77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8" s="20"/>
      <c r="J77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79" spans="1:12" x14ac:dyDescent="0.3">
      <c r="A779" s="20"/>
      <c r="B779" s="20"/>
      <c r="C779" s="20"/>
      <c r="D779" s="29"/>
      <c r="E779" s="20"/>
      <c r="F779" s="20"/>
      <c r="G779" s="20"/>
      <c r="H77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79" s="20"/>
      <c r="J77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7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7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0" spans="1:12" x14ac:dyDescent="0.3">
      <c r="A780" s="20"/>
      <c r="B780" s="20"/>
      <c r="C780" s="20"/>
      <c r="D780" s="29"/>
      <c r="E780" s="20"/>
      <c r="F780" s="20"/>
      <c r="G780" s="20"/>
      <c r="H78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0" s="20"/>
      <c r="J78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1" spans="1:12" x14ac:dyDescent="0.3">
      <c r="A781" s="20"/>
      <c r="B781" s="20"/>
      <c r="C781" s="20"/>
      <c r="D781" s="29"/>
      <c r="E781" s="20"/>
      <c r="F781" s="20"/>
      <c r="G781" s="20"/>
      <c r="H78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1" s="20"/>
      <c r="J78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2" spans="1:12" x14ac:dyDescent="0.3">
      <c r="A782" s="20"/>
      <c r="B782" s="20"/>
      <c r="C782" s="20"/>
      <c r="D782" s="29"/>
      <c r="E782" s="20"/>
      <c r="F782" s="20"/>
      <c r="G782" s="20"/>
      <c r="H78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2" s="20"/>
      <c r="J78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3" spans="1:12" x14ac:dyDescent="0.3">
      <c r="A783" s="20"/>
      <c r="B783" s="20"/>
      <c r="C783" s="20"/>
      <c r="D783" s="29"/>
      <c r="E783" s="20"/>
      <c r="F783" s="20"/>
      <c r="G783" s="20"/>
      <c r="H78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3" s="20"/>
      <c r="J78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4" spans="1:12" x14ac:dyDescent="0.3">
      <c r="A784" s="20"/>
      <c r="B784" s="20"/>
      <c r="C784" s="20"/>
      <c r="D784" s="29"/>
      <c r="E784" s="20"/>
      <c r="F784" s="20"/>
      <c r="G784" s="20"/>
      <c r="H78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4" s="20"/>
      <c r="J78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5" spans="1:12" x14ac:dyDescent="0.3">
      <c r="A785" s="20"/>
      <c r="B785" s="20"/>
      <c r="C785" s="20"/>
      <c r="D785" s="29"/>
      <c r="E785" s="20"/>
      <c r="F785" s="20"/>
      <c r="G785" s="20"/>
      <c r="H78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5" s="20"/>
      <c r="J78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6" spans="1:12" x14ac:dyDescent="0.3">
      <c r="A786" s="20"/>
      <c r="B786" s="20"/>
      <c r="C786" s="20"/>
      <c r="D786" s="29"/>
      <c r="E786" s="20"/>
      <c r="F786" s="20"/>
      <c r="G786" s="20"/>
      <c r="H78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6" s="20"/>
      <c r="J78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7" spans="1:12" x14ac:dyDescent="0.3">
      <c r="A787" s="20"/>
      <c r="B787" s="20"/>
      <c r="C787" s="20"/>
      <c r="D787" s="29"/>
      <c r="E787" s="20"/>
      <c r="F787" s="20"/>
      <c r="G787" s="20"/>
      <c r="H78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7" s="20"/>
      <c r="J78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8" spans="1:12" x14ac:dyDescent="0.3">
      <c r="A788" s="20"/>
      <c r="B788" s="20"/>
      <c r="C788" s="20"/>
      <c r="D788" s="29"/>
      <c r="E788" s="20"/>
      <c r="F788" s="20"/>
      <c r="G788" s="20"/>
      <c r="H78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8" s="20"/>
      <c r="J78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89" spans="1:12" x14ac:dyDescent="0.3">
      <c r="A789" s="20"/>
      <c r="B789" s="20"/>
      <c r="C789" s="20"/>
      <c r="D789" s="29"/>
      <c r="E789" s="20"/>
      <c r="F789" s="20"/>
      <c r="G789" s="20"/>
      <c r="H78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89" s="20"/>
      <c r="J78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8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8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0" spans="1:12" x14ac:dyDescent="0.3">
      <c r="A790" s="20"/>
      <c r="B790" s="20"/>
      <c r="C790" s="20"/>
      <c r="D790" s="29"/>
      <c r="E790" s="20"/>
      <c r="F790" s="20"/>
      <c r="G790" s="20"/>
      <c r="H79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0" s="20"/>
      <c r="J79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1" spans="1:12" x14ac:dyDescent="0.3">
      <c r="A791" s="20"/>
      <c r="B791" s="20"/>
      <c r="C791" s="20"/>
      <c r="D791" s="29"/>
      <c r="E791" s="20"/>
      <c r="F791" s="20"/>
      <c r="G791" s="20"/>
      <c r="H79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1" s="20"/>
      <c r="J79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2" spans="1:12" x14ac:dyDescent="0.3">
      <c r="A792" s="20"/>
      <c r="B792" s="20"/>
      <c r="C792" s="20"/>
      <c r="D792" s="29"/>
      <c r="E792" s="20"/>
      <c r="F792" s="20"/>
      <c r="G792" s="20"/>
      <c r="H79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2" s="20"/>
      <c r="J79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3" spans="1:12" x14ac:dyDescent="0.3">
      <c r="A793" s="20"/>
      <c r="B793" s="20"/>
      <c r="C793" s="20"/>
      <c r="D793" s="29"/>
      <c r="E793" s="20"/>
      <c r="F793" s="20"/>
      <c r="G793" s="20"/>
      <c r="H79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3" s="20"/>
      <c r="J79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4" spans="1:12" x14ac:dyDescent="0.3">
      <c r="A794" s="20"/>
      <c r="B794" s="20"/>
      <c r="C794" s="20"/>
      <c r="D794" s="29"/>
      <c r="E794" s="20"/>
      <c r="F794" s="20"/>
      <c r="G794" s="20"/>
      <c r="H79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4" s="20"/>
      <c r="J79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5" spans="1:12" x14ac:dyDescent="0.3">
      <c r="A795" s="20"/>
      <c r="B795" s="20"/>
      <c r="C795" s="20"/>
      <c r="D795" s="29"/>
      <c r="E795" s="20"/>
      <c r="F795" s="20"/>
      <c r="G795" s="20"/>
      <c r="H79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5" s="20"/>
      <c r="J79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6" spans="1:12" x14ac:dyDescent="0.3">
      <c r="A796" s="20"/>
      <c r="B796" s="20"/>
      <c r="C796" s="20"/>
      <c r="D796" s="29"/>
      <c r="E796" s="20"/>
      <c r="F796" s="20"/>
      <c r="G796" s="20"/>
      <c r="H79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6" s="20"/>
      <c r="J79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7" spans="1:12" x14ac:dyDescent="0.3">
      <c r="A797" s="20"/>
      <c r="B797" s="20"/>
      <c r="C797" s="20"/>
      <c r="D797" s="29"/>
      <c r="E797" s="20"/>
      <c r="F797" s="20"/>
      <c r="G797" s="20"/>
      <c r="H79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7" s="20"/>
      <c r="J79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8" spans="1:12" x14ac:dyDescent="0.3">
      <c r="A798" s="20"/>
      <c r="B798" s="20"/>
      <c r="C798" s="20"/>
      <c r="D798" s="29"/>
      <c r="E798" s="20"/>
      <c r="F798" s="20"/>
      <c r="G798" s="20"/>
      <c r="H79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8" s="20"/>
      <c r="J79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799" spans="1:12" x14ac:dyDescent="0.3">
      <c r="A799" s="20"/>
      <c r="B799" s="20"/>
      <c r="C799" s="20"/>
      <c r="D799" s="29"/>
      <c r="E799" s="20"/>
      <c r="F799" s="20"/>
      <c r="G799" s="20"/>
      <c r="H79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799" s="20"/>
      <c r="J79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79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79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0" spans="1:12" x14ac:dyDescent="0.3">
      <c r="A800" s="20"/>
      <c r="B800" s="20"/>
      <c r="C800" s="20"/>
      <c r="D800" s="29"/>
      <c r="E800" s="20"/>
      <c r="F800" s="20"/>
      <c r="G800" s="20"/>
      <c r="H80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0" s="20"/>
      <c r="J80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1" spans="1:12" x14ac:dyDescent="0.3">
      <c r="A801" s="20"/>
      <c r="B801" s="20"/>
      <c r="C801" s="20"/>
      <c r="D801" s="29"/>
      <c r="E801" s="20"/>
      <c r="F801" s="20"/>
      <c r="G801" s="20"/>
      <c r="H80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1" s="20"/>
      <c r="J80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2" spans="1:12" x14ac:dyDescent="0.3">
      <c r="A802" s="20"/>
      <c r="B802" s="20"/>
      <c r="C802" s="20"/>
      <c r="D802" s="29"/>
      <c r="E802" s="20"/>
      <c r="F802" s="20"/>
      <c r="G802" s="20"/>
      <c r="H80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2" s="20"/>
      <c r="J80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3" spans="1:12" x14ac:dyDescent="0.3">
      <c r="A803" s="20"/>
      <c r="B803" s="20"/>
      <c r="C803" s="20"/>
      <c r="D803" s="29"/>
      <c r="E803" s="20"/>
      <c r="F803" s="20"/>
      <c r="G803" s="20"/>
      <c r="H80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3" s="20"/>
      <c r="J80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4" spans="1:12" x14ac:dyDescent="0.3">
      <c r="A804" s="20"/>
      <c r="B804" s="20"/>
      <c r="C804" s="20"/>
      <c r="D804" s="29"/>
      <c r="E804" s="20"/>
      <c r="F804" s="20"/>
      <c r="G804" s="20"/>
      <c r="H80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4" s="20"/>
      <c r="J80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5" spans="1:12" x14ac:dyDescent="0.3">
      <c r="A805" s="20"/>
      <c r="B805" s="20"/>
      <c r="C805" s="20"/>
      <c r="D805" s="29"/>
      <c r="E805" s="20"/>
      <c r="F805" s="20"/>
      <c r="G805" s="20"/>
      <c r="H80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5" s="20"/>
      <c r="J80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6" spans="1:12" x14ac:dyDescent="0.3">
      <c r="A806" s="20"/>
      <c r="B806" s="20"/>
      <c r="C806" s="20"/>
      <c r="D806" s="29"/>
      <c r="E806" s="20"/>
      <c r="F806" s="20"/>
      <c r="G806" s="20"/>
      <c r="H80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6" s="20"/>
      <c r="J80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7" spans="1:12" x14ac:dyDescent="0.3">
      <c r="A807" s="20"/>
      <c r="B807" s="20"/>
      <c r="C807" s="20"/>
      <c r="D807" s="29"/>
      <c r="E807" s="20"/>
      <c r="F807" s="20"/>
      <c r="G807" s="20"/>
      <c r="H80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7" s="20"/>
      <c r="J80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8" spans="1:12" x14ac:dyDescent="0.3">
      <c r="A808" s="20"/>
      <c r="B808" s="20"/>
      <c r="C808" s="20"/>
      <c r="D808" s="29"/>
      <c r="E808" s="20"/>
      <c r="F808" s="20"/>
      <c r="G808" s="20"/>
      <c r="H80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8" s="20"/>
      <c r="J80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09" spans="1:12" x14ac:dyDescent="0.3">
      <c r="A809" s="20"/>
      <c r="B809" s="20"/>
      <c r="C809" s="20"/>
      <c r="D809" s="29"/>
      <c r="E809" s="20"/>
      <c r="F809" s="20"/>
      <c r="G809" s="20"/>
      <c r="H80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09" s="20"/>
      <c r="J80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0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0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0" spans="1:12" x14ac:dyDescent="0.3">
      <c r="A810" s="20"/>
      <c r="B810" s="20"/>
      <c r="C810" s="20"/>
      <c r="D810" s="29"/>
      <c r="E810" s="20"/>
      <c r="F810" s="20"/>
      <c r="G810" s="20"/>
      <c r="H81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0" s="20"/>
      <c r="J81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1" spans="1:12" x14ac:dyDescent="0.3">
      <c r="A811" s="20"/>
      <c r="B811" s="20"/>
      <c r="C811" s="20"/>
      <c r="D811" s="29"/>
      <c r="E811" s="20"/>
      <c r="F811" s="20"/>
      <c r="G811" s="20"/>
      <c r="H81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1" s="20"/>
      <c r="J81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2" spans="1:12" x14ac:dyDescent="0.3">
      <c r="A812" s="20"/>
      <c r="B812" s="20"/>
      <c r="C812" s="20"/>
      <c r="D812" s="29"/>
      <c r="E812" s="20"/>
      <c r="F812" s="20"/>
      <c r="G812" s="20"/>
      <c r="H81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2" s="20"/>
      <c r="J81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3" spans="1:12" x14ac:dyDescent="0.3">
      <c r="A813" s="20"/>
      <c r="B813" s="20"/>
      <c r="C813" s="20"/>
      <c r="D813" s="29"/>
      <c r="E813" s="20"/>
      <c r="F813" s="20"/>
      <c r="G813" s="20"/>
      <c r="H81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3" s="20"/>
      <c r="J81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4" spans="1:12" x14ac:dyDescent="0.3">
      <c r="A814" s="20"/>
      <c r="B814" s="20"/>
      <c r="C814" s="20"/>
      <c r="D814" s="29"/>
      <c r="E814" s="20"/>
      <c r="F814" s="20"/>
      <c r="G814" s="20"/>
      <c r="H81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4" s="20"/>
      <c r="J81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5" spans="1:12" x14ac:dyDescent="0.3">
      <c r="A815" s="20"/>
      <c r="B815" s="20"/>
      <c r="C815" s="20"/>
      <c r="D815" s="29"/>
      <c r="E815" s="20"/>
      <c r="F815" s="20"/>
      <c r="G815" s="20"/>
      <c r="H81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5" s="20"/>
      <c r="J81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6" spans="1:12" x14ac:dyDescent="0.3">
      <c r="A816" s="20"/>
      <c r="B816" s="20"/>
      <c r="C816" s="20"/>
      <c r="D816" s="29"/>
      <c r="E816" s="20"/>
      <c r="F816" s="20"/>
      <c r="G816" s="20"/>
      <c r="H81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6" s="20"/>
      <c r="J81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7" spans="1:12" x14ac:dyDescent="0.3">
      <c r="A817" s="20"/>
      <c r="B817" s="20"/>
      <c r="C817" s="20"/>
      <c r="D817" s="29"/>
      <c r="E817" s="20"/>
      <c r="F817" s="20"/>
      <c r="G817" s="20"/>
      <c r="H81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7" s="20"/>
      <c r="J81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8" spans="1:12" x14ac:dyDescent="0.3">
      <c r="A818" s="20"/>
      <c r="B818" s="20"/>
      <c r="C818" s="20"/>
      <c r="D818" s="29"/>
      <c r="E818" s="20"/>
      <c r="F818" s="20"/>
      <c r="G818" s="20"/>
      <c r="H81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8" s="20"/>
      <c r="J81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19" spans="1:12" x14ac:dyDescent="0.3">
      <c r="A819" s="20"/>
      <c r="B819" s="20"/>
      <c r="C819" s="20"/>
      <c r="D819" s="29"/>
      <c r="E819" s="20"/>
      <c r="F819" s="20"/>
      <c r="G819" s="20"/>
      <c r="H81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19" s="20"/>
      <c r="J81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1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1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0" spans="1:12" x14ac:dyDescent="0.3">
      <c r="A820" s="20"/>
      <c r="B820" s="20"/>
      <c r="C820" s="20"/>
      <c r="D820" s="29"/>
      <c r="E820" s="20"/>
      <c r="F820" s="20"/>
      <c r="G820" s="20"/>
      <c r="H82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0" s="20"/>
      <c r="J82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1" spans="1:12" x14ac:dyDescent="0.3">
      <c r="A821" s="20"/>
      <c r="B821" s="20"/>
      <c r="C821" s="20"/>
      <c r="D821" s="29"/>
      <c r="E821" s="20"/>
      <c r="F821" s="20"/>
      <c r="G821" s="20"/>
      <c r="H82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1" s="20"/>
      <c r="J82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2" spans="1:12" x14ac:dyDescent="0.3">
      <c r="A822" s="20"/>
      <c r="B822" s="20"/>
      <c r="C822" s="20"/>
      <c r="D822" s="29"/>
      <c r="E822" s="20"/>
      <c r="F822" s="20"/>
      <c r="G822" s="20"/>
      <c r="H82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2" s="20"/>
      <c r="J82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3" spans="1:12" x14ac:dyDescent="0.3">
      <c r="A823" s="20"/>
      <c r="B823" s="20"/>
      <c r="C823" s="20"/>
      <c r="D823" s="29"/>
      <c r="E823" s="20"/>
      <c r="F823" s="20"/>
      <c r="G823" s="20"/>
      <c r="H82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3" s="20"/>
      <c r="J82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4" spans="1:12" x14ac:dyDescent="0.3">
      <c r="A824" s="20"/>
      <c r="B824" s="20"/>
      <c r="C824" s="20"/>
      <c r="D824" s="29"/>
      <c r="E824" s="20"/>
      <c r="F824" s="20"/>
      <c r="G824" s="20"/>
      <c r="H82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4" s="20"/>
      <c r="J82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5" spans="1:12" x14ac:dyDescent="0.3">
      <c r="A825" s="20"/>
      <c r="B825" s="20"/>
      <c r="C825" s="20"/>
      <c r="D825" s="29"/>
      <c r="E825" s="20"/>
      <c r="F825" s="20"/>
      <c r="G825" s="20"/>
      <c r="H82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5" s="20"/>
      <c r="J82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6" spans="1:12" x14ac:dyDescent="0.3">
      <c r="A826" s="20"/>
      <c r="B826" s="20"/>
      <c r="C826" s="20"/>
      <c r="D826" s="29"/>
      <c r="E826" s="20"/>
      <c r="F826" s="20"/>
      <c r="G826" s="20"/>
      <c r="H82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6" s="20"/>
      <c r="J82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7" spans="1:12" x14ac:dyDescent="0.3">
      <c r="A827" s="20"/>
      <c r="B827" s="20"/>
      <c r="C827" s="20"/>
      <c r="D827" s="29"/>
      <c r="E827" s="20"/>
      <c r="F827" s="20"/>
      <c r="G827" s="20"/>
      <c r="H82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7" s="20"/>
      <c r="J82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8" spans="1:12" x14ac:dyDescent="0.3">
      <c r="A828" s="20"/>
      <c r="B828" s="20"/>
      <c r="C828" s="20"/>
      <c r="D828" s="29"/>
      <c r="E828" s="20"/>
      <c r="F828" s="20"/>
      <c r="G828" s="20"/>
      <c r="H82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8" s="20"/>
      <c r="J82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29" spans="1:12" x14ac:dyDescent="0.3">
      <c r="A829" s="20"/>
      <c r="B829" s="20"/>
      <c r="C829" s="20"/>
      <c r="D829" s="29"/>
      <c r="E829" s="20"/>
      <c r="F829" s="20"/>
      <c r="G829" s="20"/>
      <c r="H82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29" s="20"/>
      <c r="J82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2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2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0" spans="1:12" x14ac:dyDescent="0.3">
      <c r="A830" s="20"/>
      <c r="B830" s="20"/>
      <c r="C830" s="20"/>
      <c r="D830" s="29"/>
      <c r="E830" s="20"/>
      <c r="F830" s="20"/>
      <c r="G830" s="20"/>
      <c r="H83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0" s="20"/>
      <c r="J83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1" spans="1:12" x14ac:dyDescent="0.3">
      <c r="A831" s="20"/>
      <c r="B831" s="20"/>
      <c r="C831" s="20"/>
      <c r="D831" s="29"/>
      <c r="E831" s="20"/>
      <c r="F831" s="20"/>
      <c r="G831" s="20"/>
      <c r="H83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1" s="20"/>
      <c r="J83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2" spans="1:12" x14ac:dyDescent="0.3">
      <c r="A832" s="20"/>
      <c r="B832" s="20"/>
      <c r="C832" s="20"/>
      <c r="D832" s="29"/>
      <c r="E832" s="20"/>
      <c r="F832" s="20"/>
      <c r="G832" s="20"/>
      <c r="H83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2" s="20"/>
      <c r="J83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3" spans="1:12" x14ac:dyDescent="0.3">
      <c r="A833" s="20"/>
      <c r="B833" s="20"/>
      <c r="C833" s="20"/>
      <c r="D833" s="29"/>
      <c r="E833" s="20"/>
      <c r="F833" s="20"/>
      <c r="G833" s="20"/>
      <c r="H83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3" s="20"/>
      <c r="J83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4" spans="1:12" x14ac:dyDescent="0.3">
      <c r="A834" s="20"/>
      <c r="B834" s="20"/>
      <c r="C834" s="20"/>
      <c r="D834" s="29"/>
      <c r="E834" s="20"/>
      <c r="F834" s="20"/>
      <c r="G834" s="20"/>
      <c r="H83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4" s="20"/>
      <c r="J83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5" spans="1:12" x14ac:dyDescent="0.3">
      <c r="A835" s="20"/>
      <c r="B835" s="20"/>
      <c r="C835" s="20"/>
      <c r="D835" s="29"/>
      <c r="E835" s="20"/>
      <c r="F835" s="20"/>
      <c r="G835" s="20"/>
      <c r="H83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5" s="20"/>
      <c r="J83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6" spans="1:12" x14ac:dyDescent="0.3">
      <c r="A836" s="20"/>
      <c r="B836" s="20"/>
      <c r="C836" s="20"/>
      <c r="D836" s="29"/>
      <c r="E836" s="20"/>
      <c r="F836" s="20"/>
      <c r="G836" s="20"/>
      <c r="H83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6" s="20"/>
      <c r="J83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7" spans="1:12" x14ac:dyDescent="0.3">
      <c r="A837" s="20"/>
      <c r="B837" s="20"/>
      <c r="C837" s="20"/>
      <c r="D837" s="29"/>
      <c r="E837" s="20"/>
      <c r="F837" s="20"/>
      <c r="G837" s="20"/>
      <c r="H83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7" s="20"/>
      <c r="J83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8" spans="1:12" x14ac:dyDescent="0.3">
      <c r="A838" s="20"/>
      <c r="B838" s="20"/>
      <c r="C838" s="20"/>
      <c r="D838" s="29"/>
      <c r="E838" s="20"/>
      <c r="F838" s="20"/>
      <c r="G838" s="20"/>
      <c r="H83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8" s="20"/>
      <c r="J83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39" spans="1:12" x14ac:dyDescent="0.3">
      <c r="A839" s="20"/>
      <c r="B839" s="20"/>
      <c r="C839" s="20"/>
      <c r="D839" s="29"/>
      <c r="E839" s="20"/>
      <c r="F839" s="20"/>
      <c r="G839" s="20"/>
      <c r="H83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39" s="20"/>
      <c r="J83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3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3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0" spans="1:12" x14ac:dyDescent="0.3">
      <c r="A840" s="20"/>
      <c r="B840" s="20"/>
      <c r="C840" s="20"/>
      <c r="D840" s="29"/>
      <c r="E840" s="20"/>
      <c r="F840" s="20"/>
      <c r="G840" s="20"/>
      <c r="H84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0" s="20"/>
      <c r="J84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1" spans="1:12" x14ac:dyDescent="0.3">
      <c r="A841" s="20"/>
      <c r="B841" s="20"/>
      <c r="C841" s="20"/>
      <c r="D841" s="29"/>
      <c r="E841" s="20"/>
      <c r="F841" s="20"/>
      <c r="G841" s="20"/>
      <c r="H84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1" s="20"/>
      <c r="J84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2" spans="1:12" x14ac:dyDescent="0.3">
      <c r="A842" s="20"/>
      <c r="B842" s="20"/>
      <c r="C842" s="20"/>
      <c r="D842" s="29"/>
      <c r="E842" s="20"/>
      <c r="F842" s="20"/>
      <c r="G842" s="20"/>
      <c r="H84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2" s="20"/>
      <c r="J84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3" spans="1:12" x14ac:dyDescent="0.3">
      <c r="A843" s="20"/>
      <c r="B843" s="20"/>
      <c r="C843" s="20"/>
      <c r="D843" s="29"/>
      <c r="E843" s="20"/>
      <c r="F843" s="20"/>
      <c r="G843" s="20"/>
      <c r="H84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3" s="20"/>
      <c r="J84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4" spans="1:12" x14ac:dyDescent="0.3">
      <c r="A844" s="20"/>
      <c r="B844" s="20"/>
      <c r="C844" s="20"/>
      <c r="D844" s="29"/>
      <c r="E844" s="20"/>
      <c r="F844" s="20"/>
      <c r="G844" s="20"/>
      <c r="H84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4" s="20"/>
      <c r="J84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5" spans="1:12" x14ac:dyDescent="0.3">
      <c r="A845" s="20"/>
      <c r="B845" s="20"/>
      <c r="C845" s="20"/>
      <c r="D845" s="29"/>
      <c r="E845" s="20"/>
      <c r="F845" s="20"/>
      <c r="G845" s="20"/>
      <c r="H84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5" s="20"/>
      <c r="J84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6" spans="1:12" x14ac:dyDescent="0.3">
      <c r="A846" s="20"/>
      <c r="B846" s="20"/>
      <c r="C846" s="20"/>
      <c r="D846" s="29"/>
      <c r="E846" s="20"/>
      <c r="F846" s="20"/>
      <c r="G846" s="20"/>
      <c r="H84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6" s="20"/>
      <c r="J84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7" spans="1:12" x14ac:dyDescent="0.3">
      <c r="A847" s="20"/>
      <c r="B847" s="20"/>
      <c r="C847" s="20"/>
      <c r="D847" s="29"/>
      <c r="E847" s="20"/>
      <c r="F847" s="20"/>
      <c r="G847" s="20"/>
      <c r="H84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7" s="20"/>
      <c r="J84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8" spans="1:12" x14ac:dyDescent="0.3">
      <c r="A848" s="20"/>
      <c r="B848" s="20"/>
      <c r="C848" s="20"/>
      <c r="D848" s="29"/>
      <c r="E848" s="20"/>
      <c r="F848" s="20"/>
      <c r="G848" s="20"/>
      <c r="H84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8" s="20"/>
      <c r="J84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49" spans="1:12" x14ac:dyDescent="0.3">
      <c r="A849" s="20"/>
      <c r="B849" s="20"/>
      <c r="C849" s="20"/>
      <c r="D849" s="29"/>
      <c r="E849" s="20"/>
      <c r="F849" s="20"/>
      <c r="G849" s="20"/>
      <c r="H84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49" s="20"/>
      <c r="J84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4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4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0" spans="1:12" x14ac:dyDescent="0.3">
      <c r="A850" s="20"/>
      <c r="B850" s="20"/>
      <c r="C850" s="20"/>
      <c r="D850" s="29"/>
      <c r="E850" s="20"/>
      <c r="F850" s="20"/>
      <c r="G850" s="20"/>
      <c r="H85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0" s="20"/>
      <c r="J85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1" spans="1:12" x14ac:dyDescent="0.3">
      <c r="A851" s="20"/>
      <c r="B851" s="20"/>
      <c r="C851" s="20"/>
      <c r="D851" s="29"/>
      <c r="E851" s="20"/>
      <c r="F851" s="20"/>
      <c r="G851" s="20"/>
      <c r="H85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1" s="20"/>
      <c r="J85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2" spans="1:12" x14ac:dyDescent="0.3">
      <c r="A852" s="20"/>
      <c r="B852" s="20"/>
      <c r="C852" s="20"/>
      <c r="D852" s="29"/>
      <c r="E852" s="20"/>
      <c r="F852" s="20"/>
      <c r="G852" s="20"/>
      <c r="H85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2" s="20"/>
      <c r="J85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3" spans="1:12" x14ac:dyDescent="0.3">
      <c r="A853" s="20"/>
      <c r="B853" s="20"/>
      <c r="C853" s="20"/>
      <c r="D853" s="29"/>
      <c r="E853" s="20"/>
      <c r="F853" s="20"/>
      <c r="G853" s="20"/>
      <c r="H85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3" s="20"/>
      <c r="J85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4" spans="1:12" x14ac:dyDescent="0.3">
      <c r="A854" s="20"/>
      <c r="B854" s="20"/>
      <c r="C854" s="20"/>
      <c r="D854" s="29"/>
      <c r="E854" s="20"/>
      <c r="F854" s="20"/>
      <c r="G854" s="20"/>
      <c r="H85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4" s="20"/>
      <c r="J85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5" spans="1:12" x14ac:dyDescent="0.3">
      <c r="A855" s="20"/>
      <c r="B855" s="20"/>
      <c r="C855" s="20"/>
      <c r="D855" s="29"/>
      <c r="E855" s="20"/>
      <c r="F855" s="20"/>
      <c r="G855" s="20"/>
      <c r="H85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5" s="20"/>
      <c r="J85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6" spans="1:12" x14ac:dyDescent="0.3">
      <c r="A856" s="20"/>
      <c r="B856" s="20"/>
      <c r="C856" s="20"/>
      <c r="D856" s="29"/>
      <c r="E856" s="20"/>
      <c r="F856" s="20"/>
      <c r="G856" s="20"/>
      <c r="H85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6" s="20"/>
      <c r="J85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7" spans="1:12" x14ac:dyDescent="0.3">
      <c r="A857" s="20"/>
      <c r="B857" s="20"/>
      <c r="C857" s="20"/>
      <c r="D857" s="29"/>
      <c r="E857" s="20"/>
      <c r="F857" s="20"/>
      <c r="G857" s="20"/>
      <c r="H85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7" s="20"/>
      <c r="J85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8" spans="1:12" x14ac:dyDescent="0.3">
      <c r="A858" s="20"/>
      <c r="B858" s="20"/>
      <c r="C858" s="20"/>
      <c r="D858" s="29"/>
      <c r="E858" s="20"/>
      <c r="F858" s="20"/>
      <c r="G858" s="20"/>
      <c r="H85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8" s="20"/>
      <c r="J85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59" spans="1:12" x14ac:dyDescent="0.3">
      <c r="A859" s="20"/>
      <c r="B859" s="20"/>
      <c r="C859" s="20"/>
      <c r="D859" s="29"/>
      <c r="E859" s="20"/>
      <c r="F859" s="20"/>
      <c r="G859" s="20"/>
      <c r="H85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59" s="20"/>
      <c r="J85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5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5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0" spans="1:12" x14ac:dyDescent="0.3">
      <c r="A860" s="20"/>
      <c r="B860" s="20"/>
      <c r="C860" s="20"/>
      <c r="D860" s="29"/>
      <c r="E860" s="20"/>
      <c r="F860" s="20"/>
      <c r="G860" s="20"/>
      <c r="H86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0" s="20"/>
      <c r="J86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1" spans="1:12" x14ac:dyDescent="0.3">
      <c r="A861" s="20"/>
      <c r="B861" s="20"/>
      <c r="C861" s="20"/>
      <c r="D861" s="29"/>
      <c r="E861" s="20"/>
      <c r="F861" s="20"/>
      <c r="G861" s="20"/>
      <c r="H86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1" s="20"/>
      <c r="J86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2" spans="1:12" x14ac:dyDescent="0.3">
      <c r="A862" s="20"/>
      <c r="B862" s="20"/>
      <c r="C862" s="20"/>
      <c r="D862" s="29"/>
      <c r="E862" s="20"/>
      <c r="F862" s="20"/>
      <c r="G862" s="20"/>
      <c r="H86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2" s="20"/>
      <c r="J86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3" spans="1:12" x14ac:dyDescent="0.3">
      <c r="A863" s="20"/>
      <c r="B863" s="20"/>
      <c r="C863" s="20"/>
      <c r="D863" s="29"/>
      <c r="E863" s="20"/>
      <c r="F863" s="20"/>
      <c r="G863" s="20"/>
      <c r="H86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3" s="20"/>
      <c r="J86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4" spans="1:12" x14ac:dyDescent="0.3">
      <c r="A864" s="20"/>
      <c r="B864" s="20"/>
      <c r="C864" s="20"/>
      <c r="D864" s="29"/>
      <c r="E864" s="20"/>
      <c r="F864" s="20"/>
      <c r="G864" s="20"/>
      <c r="H86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4" s="20"/>
      <c r="J86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5" spans="1:12" x14ac:dyDescent="0.3">
      <c r="A865" s="20"/>
      <c r="B865" s="20"/>
      <c r="C865" s="20"/>
      <c r="D865" s="29"/>
      <c r="E865" s="20"/>
      <c r="F865" s="20"/>
      <c r="G865" s="20"/>
      <c r="H86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5" s="20"/>
      <c r="J86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6" spans="1:12" x14ac:dyDescent="0.3">
      <c r="A866" s="20"/>
      <c r="B866" s="20"/>
      <c r="C866" s="20"/>
      <c r="D866" s="29"/>
      <c r="E866" s="20"/>
      <c r="F866" s="20"/>
      <c r="G866" s="20"/>
      <c r="H86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6" s="20"/>
      <c r="J86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7" spans="1:12" x14ac:dyDescent="0.3">
      <c r="A867" s="20"/>
      <c r="B867" s="20"/>
      <c r="C867" s="20"/>
      <c r="D867" s="29"/>
      <c r="E867" s="20"/>
      <c r="F867" s="20"/>
      <c r="G867" s="20"/>
      <c r="H86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7" s="20"/>
      <c r="J86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8" spans="1:12" x14ac:dyDescent="0.3">
      <c r="A868" s="20"/>
      <c r="B868" s="20"/>
      <c r="C868" s="20"/>
      <c r="D868" s="29"/>
      <c r="E868" s="20"/>
      <c r="F868" s="20"/>
      <c r="G868" s="20"/>
      <c r="H86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8" s="20"/>
      <c r="J86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69" spans="1:12" x14ac:dyDescent="0.3">
      <c r="A869" s="20"/>
      <c r="B869" s="20"/>
      <c r="C869" s="20"/>
      <c r="D869" s="29"/>
      <c r="E869" s="20"/>
      <c r="F869" s="20"/>
      <c r="G869" s="20"/>
      <c r="H86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69" s="20"/>
      <c r="J86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6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6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0" spans="1:12" x14ac:dyDescent="0.3">
      <c r="A870" s="20"/>
      <c r="B870" s="20"/>
      <c r="C870" s="20"/>
      <c r="D870" s="29"/>
      <c r="E870" s="20"/>
      <c r="F870" s="20"/>
      <c r="G870" s="20"/>
      <c r="H87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0" s="20"/>
      <c r="J87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1" spans="1:12" x14ac:dyDescent="0.3">
      <c r="A871" s="20"/>
      <c r="B871" s="20"/>
      <c r="C871" s="20"/>
      <c r="D871" s="29"/>
      <c r="E871" s="20"/>
      <c r="F871" s="20"/>
      <c r="G871" s="20"/>
      <c r="H87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1" s="20"/>
      <c r="J87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2" spans="1:12" x14ac:dyDescent="0.3">
      <c r="A872" s="20"/>
      <c r="B872" s="20"/>
      <c r="C872" s="20"/>
      <c r="D872" s="29"/>
      <c r="E872" s="20"/>
      <c r="F872" s="20"/>
      <c r="G872" s="20"/>
      <c r="H87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2" s="20"/>
      <c r="J87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3" spans="1:12" x14ac:dyDescent="0.3">
      <c r="A873" s="20"/>
      <c r="B873" s="20"/>
      <c r="C873" s="20"/>
      <c r="D873" s="29"/>
      <c r="E873" s="20"/>
      <c r="F873" s="20"/>
      <c r="G873" s="20"/>
      <c r="H87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3" s="20"/>
      <c r="J87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4" spans="1:12" x14ac:dyDescent="0.3">
      <c r="A874" s="20"/>
      <c r="B874" s="20"/>
      <c r="C874" s="20"/>
      <c r="D874" s="29"/>
      <c r="E874" s="20"/>
      <c r="F874" s="20"/>
      <c r="G874" s="20"/>
      <c r="H87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4" s="20"/>
      <c r="J87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5" spans="1:12" x14ac:dyDescent="0.3">
      <c r="A875" s="20"/>
      <c r="B875" s="20"/>
      <c r="C875" s="20"/>
      <c r="D875" s="29"/>
      <c r="E875" s="20"/>
      <c r="F875" s="20"/>
      <c r="G875" s="20"/>
      <c r="H87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5" s="20"/>
      <c r="J87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6" spans="1:12" x14ac:dyDescent="0.3">
      <c r="A876" s="20"/>
      <c r="B876" s="20"/>
      <c r="C876" s="20"/>
      <c r="D876" s="29"/>
      <c r="E876" s="20"/>
      <c r="F876" s="20"/>
      <c r="G876" s="20"/>
      <c r="H87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6" s="20"/>
      <c r="J87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7" spans="1:12" x14ac:dyDescent="0.3">
      <c r="A877" s="20"/>
      <c r="B877" s="20"/>
      <c r="C877" s="20"/>
      <c r="D877" s="29"/>
      <c r="E877" s="20"/>
      <c r="F877" s="20"/>
      <c r="G877" s="20"/>
      <c r="H87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7" s="20"/>
      <c r="J87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8" spans="1:12" x14ac:dyDescent="0.3">
      <c r="A878" s="20"/>
      <c r="B878" s="20"/>
      <c r="C878" s="20"/>
      <c r="D878" s="29"/>
      <c r="E878" s="20"/>
      <c r="F878" s="20"/>
      <c r="G878" s="20"/>
      <c r="H87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8" s="20"/>
      <c r="J87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79" spans="1:12" x14ac:dyDescent="0.3">
      <c r="A879" s="20"/>
      <c r="B879" s="20"/>
      <c r="C879" s="20"/>
      <c r="D879" s="29"/>
      <c r="E879" s="20"/>
      <c r="F879" s="20"/>
      <c r="G879" s="20"/>
      <c r="H87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79" s="20"/>
      <c r="J87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7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7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0" spans="1:12" x14ac:dyDescent="0.3">
      <c r="A880" s="20"/>
      <c r="B880" s="20"/>
      <c r="C880" s="20"/>
      <c r="D880" s="29"/>
      <c r="E880" s="20"/>
      <c r="F880" s="20"/>
      <c r="G880" s="20"/>
      <c r="H88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0" s="20"/>
      <c r="J88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1" spans="1:12" x14ac:dyDescent="0.3">
      <c r="A881" s="20"/>
      <c r="B881" s="20"/>
      <c r="C881" s="20"/>
      <c r="D881" s="29"/>
      <c r="E881" s="20"/>
      <c r="F881" s="20"/>
      <c r="G881" s="20"/>
      <c r="H88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1" s="20"/>
      <c r="J88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2" spans="1:12" x14ac:dyDescent="0.3">
      <c r="A882" s="20"/>
      <c r="B882" s="20"/>
      <c r="C882" s="20"/>
      <c r="D882" s="29"/>
      <c r="E882" s="20"/>
      <c r="F882" s="20"/>
      <c r="G882" s="20"/>
      <c r="H88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2" s="20"/>
      <c r="J88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3" spans="1:12" x14ac:dyDescent="0.3">
      <c r="A883" s="20"/>
      <c r="B883" s="20"/>
      <c r="C883" s="20"/>
      <c r="D883" s="29"/>
      <c r="E883" s="20"/>
      <c r="F883" s="20"/>
      <c r="G883" s="20"/>
      <c r="H88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3" s="20"/>
      <c r="J88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4" spans="1:12" x14ac:dyDescent="0.3">
      <c r="A884" s="20"/>
      <c r="B884" s="20"/>
      <c r="C884" s="20"/>
      <c r="D884" s="29"/>
      <c r="E884" s="20"/>
      <c r="F884" s="20"/>
      <c r="G884" s="20"/>
      <c r="H88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4" s="20"/>
      <c r="J88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5" spans="1:12" x14ac:dyDescent="0.3">
      <c r="A885" s="20"/>
      <c r="B885" s="20"/>
      <c r="C885" s="20"/>
      <c r="D885" s="29"/>
      <c r="E885" s="20"/>
      <c r="F885" s="20"/>
      <c r="G885" s="20"/>
      <c r="H88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5" s="20"/>
      <c r="J88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6" spans="1:12" x14ac:dyDescent="0.3">
      <c r="A886" s="20"/>
      <c r="B886" s="20"/>
      <c r="C886" s="20"/>
      <c r="D886" s="29"/>
      <c r="E886" s="20"/>
      <c r="F886" s="20"/>
      <c r="G886" s="20"/>
      <c r="H88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6" s="20"/>
      <c r="J886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7" spans="1:12" x14ac:dyDescent="0.3">
      <c r="A887" s="20"/>
      <c r="B887" s="20"/>
      <c r="C887" s="20"/>
      <c r="D887" s="29"/>
      <c r="E887" s="20"/>
      <c r="F887" s="20"/>
      <c r="G887" s="20"/>
      <c r="H887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7" s="20"/>
      <c r="J887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7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7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8" spans="1:12" x14ac:dyDescent="0.3">
      <c r="A888" s="20"/>
      <c r="B888" s="20"/>
      <c r="C888" s="20"/>
      <c r="D888" s="29"/>
      <c r="E888" s="20"/>
      <c r="F888" s="20"/>
      <c r="G888" s="20"/>
      <c r="H888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8" s="20"/>
      <c r="J888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8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8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89" spans="1:12" x14ac:dyDescent="0.3">
      <c r="A889" s="20"/>
      <c r="B889" s="20"/>
      <c r="C889" s="20"/>
      <c r="D889" s="29"/>
      <c r="E889" s="20"/>
      <c r="F889" s="20"/>
      <c r="G889" s="20"/>
      <c r="H889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89" s="20"/>
      <c r="J889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89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89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90" spans="1:12" x14ac:dyDescent="0.3">
      <c r="A890" s="20"/>
      <c r="B890" s="20"/>
      <c r="C890" s="20"/>
      <c r="D890" s="29"/>
      <c r="E890" s="20"/>
      <c r="F890" s="20"/>
      <c r="G890" s="20"/>
      <c r="H890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90" s="20"/>
      <c r="J890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90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90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91" spans="1:12" x14ac:dyDescent="0.3">
      <c r="A891" s="20"/>
      <c r="B891" s="20"/>
      <c r="C891" s="20"/>
      <c r="D891" s="29"/>
      <c r="E891" s="20"/>
      <c r="F891" s="20"/>
      <c r="G891" s="20"/>
      <c r="H891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91" s="20"/>
      <c r="J891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91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91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92" spans="1:12" x14ac:dyDescent="0.3">
      <c r="A892" s="20"/>
      <c r="B892" s="20"/>
      <c r="C892" s="20"/>
      <c r="D892" s="29"/>
      <c r="E892" s="20"/>
      <c r="F892" s="20"/>
      <c r="G892" s="20"/>
      <c r="H892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92" s="20"/>
      <c r="J892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92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92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93" spans="1:12" x14ac:dyDescent="0.3">
      <c r="A893" s="20"/>
      <c r="B893" s="20"/>
      <c r="C893" s="20"/>
      <c r="D893" s="29"/>
      <c r="E893" s="20"/>
      <c r="F893" s="20"/>
      <c r="G893" s="20"/>
      <c r="H893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93" s="20"/>
      <c r="J893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93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93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94" spans="1:12" x14ac:dyDescent="0.3">
      <c r="A894" s="23"/>
      <c r="B894" s="23"/>
      <c r="C894" s="23"/>
      <c r="D894" s="30"/>
      <c r="E894" s="23"/>
      <c r="F894" s="23"/>
      <c r="G894" s="23"/>
      <c r="H894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94" s="23"/>
      <c r="J894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94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94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95" spans="1:12" x14ac:dyDescent="0.3">
      <c r="A895" s="20"/>
      <c r="B895" s="20"/>
      <c r="C895" s="20"/>
      <c r="D895" s="29"/>
      <c r="E895" s="20"/>
      <c r="F895" s="20"/>
      <c r="G895" s="20"/>
      <c r="H895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95" s="20"/>
      <c r="J895" s="22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95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95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  <row r="896" spans="1:12" x14ac:dyDescent="0.3">
      <c r="A896" s="20"/>
      <c r="B896" s="20"/>
      <c r="C896" s="20"/>
      <c r="D896" s="29"/>
      <c r="E896" s="20"/>
      <c r="F896" s="20"/>
      <c r="G896" s="20"/>
      <c r="H896" s="20">
        <f>IFERROR(IF(
  SK[[#This Row],[KESİLECEK PARÇA ADEDİ ]]*SK[[#This Row],[KESİLECEK PARÇA BOYU]] &lt; SK[[#This Row],[BOY]] - 3*ROUNDUP(SK[[#This Row],[BOY]]/SK[[#This Row],[KESİLECEK PARÇA BOYU]] - 1, 0),
  1,
  ROUNDUP(SK[[#This Row],[KESİLECEK PARÇA ADEDİ ]]/INT(SK[[#This Row],[BOY]]/(SK[[#This Row],[KESİLECEK PARÇA BOYU]]+$O$2)), 0)
),0)</f>
        <v>0</v>
      </c>
      <c r="I896" s="20"/>
      <c r="J896" s="41">
        <f>IFERROR(
  IF(SK[[#This Row],[GEREKLİ ADET]]=1,
     SK[[#This Row],[BOY]]-SK[[#This Row],[KESİLECEK PARÇA ADEDİ ]]*(SK[[#This Row],[KESİLECEK PARÇA BOYU]]+$O$2),
    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BOYU]]))*SK[[#This Row],[GEREKLİ ADET]],
        0
     )
  )
  +
  IF(SK[[#This Row],[GEREKLİ ADET]]&gt;1,
     IF(
        INT((SK[[#This Row],[BOY]]+$O$2)/(SK[[#This Row],[KESİLECEK PARÇA BOYU]]+$O$2))=0,
        0,
        IF(
           (SK[[#This Row],[BOY]]-MOD(SK[[#This Row],[KESİLECEK PARÇA ADEDİ ]], INT((SK[[#This Row],[BOY]]+$O$2)/(SK[[#This Row],[KESİLECEK PARÇA BOYU]]+$O$2)) )*(SK[[#This Row],[KESİLECEK PARÇA BOYU]]+$O$2))&gt;$P$2,
           IF(
              MOD(SK[[#This Row],[KESİLECEK PARÇA ADEDİ ]], INT((SK[[#This Row],[BOY]]+$O$2)/(SK[[#This Row],[KESİLECEK PARÇA BOYU]]+$O$2)))=0,
              0,
              SK[[#This Row],[BOY]]-MOD(SK[[#This Row],[KESİLECEK PARÇA ADEDİ ]], INT((SK[[#This Row],[BOY]]+$O$2)/(SK[[#This Row],[KESİLECEK PARÇA BOYU]]+$O$2)))*(SK[[#This Row],[KESİLECEK PARÇA BOYU]]+$O$2)
           ),
           0
        )
     ),
     0
  ),
0)</f>
        <v>0</v>
      </c>
      <c r="K896" s="40">
        <f xml:space="preserve">  IFERROR( IF( 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)&gt;0,IF(
        MOD(SK[[#This Row],[BOY]],SK[[#This Row],[KESİLECEK PARÇA BOYU]])-$O$2*INT(SK[[#This Row],[BOY]]/SK[[#This Row],[KESİLECEK PARÇA BOYU]])&gt;$P$2,
        (MOD(SK[[#This Row],[BOY]],SK[[#This Row],[KESİLECEK PARÇA BOYU]])-$O$2*INT(SK[[#This Row],[BOY]]/SK[[#This Row],[KESİLECEK PARÇA BOYU]])),
        0
     ),0),0)</f>
        <v>0</v>
      </c>
      <c r="L896" s="21">
        <f>IFERROR(IF(SK[[#This Row],[BOY]]-(SK[[#This Row],[KESİLECEK PARÇA BOYU]]+$O$2)*MOD(SK[[#This Row],[KESİLECEK PARÇA ADEDİ ]],INT(SK[[#This Row],[BOY]]/(SK[[#This Row],[KESİLECEK PARÇA BOYU]]+$O$2)))&lt;SK[[#This Row],[BOY]],SK[[#This Row],[BOY]]-(SK[[#This Row],[KESİLECEK PARÇA BOYU]]+$O$2)*MOD(SK[[#This Row],[KESİLECEK PARÇA ADEDİ ]],INT(SK[[#This Row],[BOY]]/(SK[[#This Row],[KESİLECEK PARÇA BOYU]]+$O$2))),0),0)</f>
        <v>0</v>
      </c>
    </row>
  </sheetData>
  <phoneticPr fontId="2" type="noConversion"/>
  <dataValidations count="4">
    <dataValidation type="list" allowBlank="1" showInputMessage="1" showErrorMessage="1" sqref="D2:D731" xr:uid="{C3AD883B-CC72-4932-AC91-9A4BF4562255}">
      <formula1>INDIRECT("'"&amp;$C2&amp;"'!$A:$A")</formula1>
    </dataValidation>
    <dataValidation type="list" allowBlank="1" showInputMessage="1" showErrorMessage="1" sqref="C2:C731" xr:uid="{077FC9DA-044F-42E7-B7A4-E9D2CBB80185}">
      <formula1>$XEZ$1:$XEZ$57</formula1>
    </dataValidation>
    <dataValidation type="list" allowBlank="1" showInputMessage="1" showErrorMessage="1" sqref="I2:I888" xr:uid="{4AC2F892-B5AE-4C3D-BA0D-531B2051BD4C}">
      <formula1>$XEV$1:$XEV$2</formula1>
    </dataValidation>
    <dataValidation type="list" allowBlank="1" showInputMessage="1" showErrorMessage="1" sqref="E2:E896" xr:uid="{D01FBE44-51AB-404A-AB20-66A6B310DDC4}">
      <formula1>$XFC$1:$XFC$8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0921-F03A-4E76-9C34-3E075D6C8726}">
  <dimension ref="A1:H882"/>
  <sheetViews>
    <sheetView workbookViewId="0">
      <selection activeCell="D23" sqref="D23"/>
    </sheetView>
  </sheetViews>
  <sheetFormatPr defaultRowHeight="14.4" x14ac:dyDescent="0.3"/>
  <cols>
    <col min="1" max="1" width="16.33203125" style="12" customWidth="1"/>
    <col min="2" max="2" width="18" style="9" customWidth="1"/>
    <col min="3" max="3" width="16.109375" style="9" customWidth="1"/>
    <col min="4" max="4" width="13.33203125" style="9" customWidth="1"/>
    <col min="5" max="5" width="22.44140625" style="9" customWidth="1"/>
    <col min="6" max="6" width="12.109375" style="9" customWidth="1"/>
    <col min="7" max="7" width="15.109375" style="9" customWidth="1"/>
    <col min="8" max="8" width="22.33203125" style="9" customWidth="1"/>
    <col min="9" max="16384" width="8.88671875" style="9"/>
  </cols>
  <sheetData>
    <row r="1" spans="1:8" x14ac:dyDescent="0.3">
      <c r="A1" s="7" t="s">
        <v>23</v>
      </c>
      <c r="B1" s="8" t="s">
        <v>58</v>
      </c>
      <c r="C1" s="8" t="s">
        <v>25</v>
      </c>
      <c r="D1" s="8" t="s">
        <v>26</v>
      </c>
      <c r="E1" s="13" t="s">
        <v>212</v>
      </c>
      <c r="F1" s="42" t="s">
        <v>209</v>
      </c>
      <c r="G1" s="42" t="s">
        <v>211</v>
      </c>
      <c r="H1" s="42" t="s">
        <v>210</v>
      </c>
    </row>
    <row r="2" spans="1:8" x14ac:dyDescent="0.3">
      <c r="A2" s="12">
        <f>SK[[#This Row],[TARİH]]</f>
        <v>0</v>
      </c>
      <c r="B2" s="9">
        <f>SK[[#This Row],[TÜR]]</f>
        <v>0</v>
      </c>
      <c r="C2" s="9">
        <f>SK[[#This Row],[MALZEME ]]</f>
        <v>0</v>
      </c>
      <c r="D2" s="9">
        <f>SK[[#This Row],[KALİTE]]</f>
        <v>0</v>
      </c>
      <c r="E2" s="11">
        <f>IF(SK[[#This Row],[FİRE]]&lt;1000,0,SK[[#This Row],[FİRE]])</f>
        <v>0</v>
      </c>
      <c r="F2" s="11">
        <f>SK[[#This Row],[EŞİT FİRE]]</f>
        <v>0</v>
      </c>
      <c r="G2" s="9">
        <f>IF(MOD(SK[[#This Row],[GEREKLİ ADET]],2)=0,SK[[#This Row],[GEREKLİ ADET]],0)</f>
        <v>0</v>
      </c>
      <c r="H2" s="9">
        <f>SK[[#This Row],[SONDAN KALAN FİRE]]</f>
        <v>0</v>
      </c>
    </row>
    <row r="3" spans="1:8" x14ac:dyDescent="0.3">
      <c r="A3" s="12">
        <f>SK[[#This Row],[TARİH]]</f>
        <v>0</v>
      </c>
      <c r="B3" s="9">
        <f>SK[[#This Row],[TÜR]]</f>
        <v>0</v>
      </c>
      <c r="C3" s="9">
        <f>SK[[#This Row],[MALZEME ]]</f>
        <v>0</v>
      </c>
      <c r="D3" s="9">
        <f>SK[[#This Row],[KALİTE]]</f>
        <v>0</v>
      </c>
      <c r="E3" s="11">
        <f>IF(SK[[#This Row],[FİRE]]&lt;1000,0,SK[[#This Row],[FİRE]])</f>
        <v>0</v>
      </c>
      <c r="F3" s="11">
        <f>SK[[#This Row],[EŞİT FİRE]]</f>
        <v>0</v>
      </c>
      <c r="G3" s="9">
        <f>IF(MOD(SK[[#This Row],[GEREKLİ ADET]],2)=0,SK[[#This Row],[GEREKLİ ADET]],0)</f>
        <v>0</v>
      </c>
      <c r="H3" s="9">
        <f>SK[[#This Row],[SONDAN KALAN FİRE]]</f>
        <v>0</v>
      </c>
    </row>
    <row r="4" spans="1:8" x14ac:dyDescent="0.3">
      <c r="A4" s="12">
        <f>SK[[#This Row],[TARİH]]</f>
        <v>0</v>
      </c>
      <c r="B4" s="9">
        <f>SK[[#This Row],[TÜR]]</f>
        <v>0</v>
      </c>
      <c r="C4" s="9">
        <f>SK[[#This Row],[MALZEME ]]</f>
        <v>0</v>
      </c>
      <c r="D4" s="9">
        <f>SK[[#This Row],[KALİTE]]</f>
        <v>0</v>
      </c>
      <c r="E4" s="11">
        <f>IF(SK[[#This Row],[FİRE]]&lt;1000,0,SK[[#This Row],[FİRE]])</f>
        <v>0</v>
      </c>
      <c r="F4" s="11">
        <f>SK[[#This Row],[EŞİT FİRE]]</f>
        <v>0</v>
      </c>
      <c r="G4" s="9">
        <f>IF(MOD(SK[[#This Row],[GEREKLİ ADET]],2)=0,SK[[#This Row],[GEREKLİ ADET]],0)</f>
        <v>0</v>
      </c>
      <c r="H4" s="9">
        <f>SK[[#This Row],[SONDAN KALAN FİRE]]</f>
        <v>0</v>
      </c>
    </row>
    <row r="5" spans="1:8" x14ac:dyDescent="0.3">
      <c r="A5" s="12">
        <f>SK[[#This Row],[TARİH]]</f>
        <v>0</v>
      </c>
      <c r="B5" s="9">
        <f>SK[[#This Row],[TÜR]]</f>
        <v>0</v>
      </c>
      <c r="C5" s="9">
        <f>SK[[#This Row],[MALZEME ]]</f>
        <v>0</v>
      </c>
      <c r="D5" s="9">
        <f>SK[[#This Row],[KALİTE]]</f>
        <v>0</v>
      </c>
      <c r="E5" s="11">
        <f>IF(SK[[#This Row],[FİRE]]&lt;1000,0,SK[[#This Row],[FİRE]])</f>
        <v>0</v>
      </c>
      <c r="F5" s="11">
        <f>SK[[#This Row],[EŞİT FİRE]]</f>
        <v>0</v>
      </c>
      <c r="G5" s="9">
        <f>IF(MOD(SK[[#This Row],[GEREKLİ ADET]],2)=0,SK[[#This Row],[GEREKLİ ADET]],0)</f>
        <v>0</v>
      </c>
      <c r="H5" s="9">
        <f>SK[[#This Row],[SONDAN KALAN FİRE]]</f>
        <v>0</v>
      </c>
    </row>
    <row r="6" spans="1:8" x14ac:dyDescent="0.3">
      <c r="A6" s="12">
        <f>SK[[#This Row],[TARİH]]</f>
        <v>0</v>
      </c>
      <c r="B6" s="9">
        <f>SK[[#This Row],[TÜR]]</f>
        <v>0</v>
      </c>
      <c r="C6" s="9">
        <f>SK[[#This Row],[MALZEME ]]</f>
        <v>0</v>
      </c>
      <c r="D6" s="9">
        <f>SK[[#This Row],[KALİTE]]</f>
        <v>0</v>
      </c>
      <c r="E6" s="11">
        <f>IF(SK[[#This Row],[FİRE]]&lt;1000,0,SK[[#This Row],[FİRE]])</f>
        <v>0</v>
      </c>
      <c r="F6" s="11">
        <f>SK[[#This Row],[EŞİT FİRE]]</f>
        <v>0</v>
      </c>
      <c r="G6" s="9">
        <f>IF(MOD(SK[[#This Row],[GEREKLİ ADET]],2)=0,SK[[#This Row],[GEREKLİ ADET]],0)</f>
        <v>0</v>
      </c>
      <c r="H6" s="9">
        <f>SK[[#This Row],[SONDAN KALAN FİRE]]</f>
        <v>0</v>
      </c>
    </row>
    <row r="7" spans="1:8" x14ac:dyDescent="0.3">
      <c r="A7" s="12">
        <f>SK[[#This Row],[TARİH]]</f>
        <v>45895</v>
      </c>
      <c r="B7" s="9" t="str">
        <f>SK[[#This Row],[TÜR]]</f>
        <v>KUTU PROFİL</v>
      </c>
      <c r="C7" s="9" t="str">
        <f>SK[[#This Row],[MALZEME ]]</f>
        <v>RHS 100X50X3</v>
      </c>
      <c r="D7" s="9" t="str">
        <f>SK[[#This Row],[KALİTE]]</f>
        <v>S275JR</v>
      </c>
      <c r="E7" s="11">
        <f>IF(SK[[#This Row],[FİRE]]&lt;1000,0,SK[[#This Row],[FİRE]])</f>
        <v>0</v>
      </c>
      <c r="F7" s="11">
        <f>SK[[#This Row],[EŞİT FİRE]]</f>
        <v>0</v>
      </c>
      <c r="G7" s="9">
        <f>IF(MOD(SK[[#This Row],[GEREKLİ ADET]],2)=0,SK[[#This Row],[GEREKLİ ADET]],0)</f>
        <v>2</v>
      </c>
      <c r="H7" s="9">
        <f>SK[[#This Row],[SONDAN KALAN FİRE]]</f>
        <v>0</v>
      </c>
    </row>
    <row r="8" spans="1:8" x14ac:dyDescent="0.3">
      <c r="A8" s="12">
        <f>SK[[#This Row],[TARİH]]</f>
        <v>0</v>
      </c>
      <c r="B8" s="9">
        <f>SK[[#This Row],[TÜR]]</f>
        <v>0</v>
      </c>
      <c r="C8" s="9">
        <f>SK[[#This Row],[MALZEME ]]</f>
        <v>0</v>
      </c>
      <c r="D8" s="9">
        <f>SK[[#This Row],[KALİTE]]</f>
        <v>0</v>
      </c>
      <c r="E8" s="11">
        <f>IF(SK[[#This Row],[FİRE]]&lt;1000,0,SK[[#This Row],[FİRE]])</f>
        <v>0</v>
      </c>
      <c r="F8" s="11">
        <f>SK[[#This Row],[EŞİT FİRE]]</f>
        <v>0</v>
      </c>
      <c r="G8" s="9">
        <f>IF(MOD(SK[[#This Row],[GEREKLİ ADET]],2)=0,SK[[#This Row],[GEREKLİ ADET]],0)</f>
        <v>0</v>
      </c>
      <c r="H8" s="9">
        <f>SK[[#This Row],[SONDAN KALAN FİRE]]</f>
        <v>0</v>
      </c>
    </row>
    <row r="9" spans="1:8" x14ac:dyDescent="0.3">
      <c r="A9" s="12">
        <f>SK[[#This Row],[TARİH]]</f>
        <v>0</v>
      </c>
      <c r="B9" s="9">
        <f>SK[[#This Row],[TÜR]]</f>
        <v>0</v>
      </c>
      <c r="C9" s="9">
        <f>SK[[#This Row],[MALZEME ]]</f>
        <v>0</v>
      </c>
      <c r="D9" s="9">
        <f>SK[[#This Row],[KALİTE]]</f>
        <v>0</v>
      </c>
      <c r="E9" s="11">
        <f>IF(SK[[#This Row],[FİRE]]&lt;1000,0,SK[[#This Row],[FİRE]])</f>
        <v>0</v>
      </c>
      <c r="F9" s="11">
        <f>SK[[#This Row],[EŞİT FİRE]]</f>
        <v>0</v>
      </c>
      <c r="G9" s="9">
        <f>IF(MOD(SK[[#This Row],[GEREKLİ ADET]],2)=0,SK[[#This Row],[GEREKLİ ADET]],0)</f>
        <v>0</v>
      </c>
      <c r="H9" s="9">
        <f>SK[[#This Row],[SONDAN KALAN FİRE]]</f>
        <v>0</v>
      </c>
    </row>
    <row r="10" spans="1:8" x14ac:dyDescent="0.3">
      <c r="A10" s="12">
        <f>SK[[#This Row],[TARİH]]</f>
        <v>0</v>
      </c>
      <c r="B10" s="9">
        <f>SK[[#This Row],[TÜR]]</f>
        <v>0</v>
      </c>
      <c r="C10" s="9">
        <f>SK[[#This Row],[MALZEME ]]</f>
        <v>0</v>
      </c>
      <c r="D10" s="9">
        <f>SK[[#This Row],[KALİTE]]</f>
        <v>0</v>
      </c>
      <c r="E10" s="11">
        <f>IF(SK[[#This Row],[FİRE]]&lt;1000,0,SK[[#This Row],[FİRE]])</f>
        <v>0</v>
      </c>
      <c r="F10" s="11">
        <f>SK[[#This Row],[EŞİT FİRE]]</f>
        <v>0</v>
      </c>
      <c r="G10" s="9">
        <f>IF(MOD(SK[[#This Row],[GEREKLİ ADET]],2)=0,SK[[#This Row],[GEREKLİ ADET]],0)</f>
        <v>0</v>
      </c>
      <c r="H10" s="9">
        <f>SK[[#This Row],[SONDAN KALAN FİRE]]</f>
        <v>0</v>
      </c>
    </row>
    <row r="11" spans="1:8" x14ac:dyDescent="0.3">
      <c r="A11" s="12">
        <f>SK[[#This Row],[TARİH]]</f>
        <v>0</v>
      </c>
      <c r="B11" s="9">
        <f>SK[[#This Row],[TÜR]]</f>
        <v>0</v>
      </c>
      <c r="C11" s="9">
        <f>SK[[#This Row],[MALZEME ]]</f>
        <v>0</v>
      </c>
      <c r="D11" s="9">
        <f>SK[[#This Row],[KALİTE]]</f>
        <v>0</v>
      </c>
      <c r="E11" s="11">
        <f>IF(SK[[#This Row],[FİRE]]&lt;1000,0,SK[[#This Row],[FİRE]])</f>
        <v>0</v>
      </c>
      <c r="F11" s="11">
        <f>SK[[#This Row],[EŞİT FİRE]]</f>
        <v>0</v>
      </c>
      <c r="G11" s="9">
        <f>IF(MOD(SK[[#This Row],[GEREKLİ ADET]],2)=0,SK[[#This Row],[GEREKLİ ADET]],0)</f>
        <v>0</v>
      </c>
      <c r="H11" s="9">
        <f>SK[[#This Row],[SONDAN KALAN FİRE]]</f>
        <v>0</v>
      </c>
    </row>
    <row r="12" spans="1:8" x14ac:dyDescent="0.3">
      <c r="A12" s="12">
        <f>SK[[#This Row],[TARİH]]</f>
        <v>0</v>
      </c>
      <c r="B12" s="9">
        <f>SK[[#This Row],[TÜR]]</f>
        <v>0</v>
      </c>
      <c r="C12" s="9">
        <f>SK[[#This Row],[MALZEME ]]</f>
        <v>0</v>
      </c>
      <c r="D12" s="9">
        <f>SK[[#This Row],[KALİTE]]</f>
        <v>0</v>
      </c>
      <c r="E12" s="11">
        <f>IF(SK[[#This Row],[FİRE]]&lt;1000,0,SK[[#This Row],[FİRE]])</f>
        <v>0</v>
      </c>
      <c r="F12" s="11">
        <f>SK[[#This Row],[EŞİT FİRE]]</f>
        <v>0</v>
      </c>
      <c r="G12" s="9">
        <f>IF(MOD(SK[[#This Row],[GEREKLİ ADET]],2)=0,SK[[#This Row],[GEREKLİ ADET]],0)</f>
        <v>0</v>
      </c>
      <c r="H12" s="9">
        <f>SK[[#This Row],[SONDAN KALAN FİRE]]</f>
        <v>0</v>
      </c>
    </row>
    <row r="13" spans="1:8" x14ac:dyDescent="0.3">
      <c r="A13" s="12">
        <f>SK[[#This Row],[TARİH]]</f>
        <v>0</v>
      </c>
      <c r="B13" s="9">
        <f>SK[[#This Row],[TÜR]]</f>
        <v>0</v>
      </c>
      <c r="C13" s="9">
        <f>SK[[#This Row],[MALZEME ]]</f>
        <v>0</v>
      </c>
      <c r="D13" s="9">
        <f>SK[[#This Row],[KALİTE]]</f>
        <v>0</v>
      </c>
      <c r="E13" s="11">
        <f>IF(SK[[#This Row],[FİRE]]&lt;1000,0,SK[[#This Row],[FİRE]])</f>
        <v>0</v>
      </c>
      <c r="F13" s="11">
        <f>SK[[#This Row],[EŞİT FİRE]]</f>
        <v>0</v>
      </c>
      <c r="G13" s="9">
        <f>IF(MOD(SK[[#This Row],[GEREKLİ ADET]],2)=0,SK[[#This Row],[GEREKLİ ADET]],0)</f>
        <v>0</v>
      </c>
      <c r="H13" s="9">
        <f>SK[[#This Row],[SONDAN KALAN FİRE]]</f>
        <v>0</v>
      </c>
    </row>
    <row r="14" spans="1:8" x14ac:dyDescent="0.3">
      <c r="A14" s="12">
        <f>SK[[#This Row],[TARİH]]</f>
        <v>0</v>
      </c>
      <c r="B14" s="9">
        <f>SK[[#This Row],[TÜR]]</f>
        <v>0</v>
      </c>
      <c r="C14" s="9">
        <f>SK[[#This Row],[MALZEME ]]</f>
        <v>0</v>
      </c>
      <c r="D14" s="9">
        <f>SK[[#This Row],[KALİTE]]</f>
        <v>0</v>
      </c>
      <c r="E14" s="11">
        <f>SK[[#This Row],[FİRE]]</f>
        <v>0</v>
      </c>
      <c r="F14" s="11">
        <f>SK[[#This Row],[EŞİT FİRE]]</f>
        <v>0</v>
      </c>
      <c r="G14" s="9">
        <f>IF(MOD(SK[[#This Row],[GEREKLİ ADET]],2)=0,SK[[#This Row],[GEREKLİ ADET]],0)</f>
        <v>0</v>
      </c>
      <c r="H14" s="9">
        <f>SK[[#This Row],[SONDAN KALAN FİRE]]</f>
        <v>0</v>
      </c>
    </row>
    <row r="15" spans="1:8" x14ac:dyDescent="0.3">
      <c r="A15" s="12">
        <f>SK[[#This Row],[TARİH]]</f>
        <v>0</v>
      </c>
      <c r="B15" s="9">
        <f>SK[[#This Row],[TÜR]]</f>
        <v>0</v>
      </c>
      <c r="C15" s="9">
        <f>SK[[#This Row],[MALZEME ]]</f>
        <v>0</v>
      </c>
      <c r="D15" s="9">
        <f>SK[[#This Row],[KALİTE]]</f>
        <v>0</v>
      </c>
      <c r="E15" s="11">
        <f>SK[[#This Row],[FİRE]]</f>
        <v>0</v>
      </c>
      <c r="F15" s="11">
        <f>SK[[#This Row],[EŞİT FİRE]]</f>
        <v>0</v>
      </c>
      <c r="G15" s="9">
        <f>IF(MOD(SK[[#This Row],[GEREKLİ ADET]],2)=0,SK[[#This Row],[GEREKLİ ADET]],0)</f>
        <v>0</v>
      </c>
      <c r="H15" s="9">
        <f>SK[[#This Row],[SONDAN KALAN FİRE]]</f>
        <v>0</v>
      </c>
    </row>
    <row r="16" spans="1:8" x14ac:dyDescent="0.3">
      <c r="A16" s="12">
        <f>SK[[#This Row],[TARİH]]</f>
        <v>0</v>
      </c>
      <c r="B16" s="9">
        <f>SK[[#This Row],[TÜR]]</f>
        <v>0</v>
      </c>
      <c r="C16" s="9">
        <f>SK[[#This Row],[MALZEME ]]</f>
        <v>0</v>
      </c>
      <c r="D16" s="9">
        <f>SK[[#This Row],[KALİTE]]</f>
        <v>0</v>
      </c>
      <c r="E16" s="11">
        <f>SK[[#This Row],[FİRE]]</f>
        <v>0</v>
      </c>
      <c r="F16" s="11">
        <f>SK[[#This Row],[EŞİT FİRE]]</f>
        <v>0</v>
      </c>
      <c r="G16" s="9">
        <f>IF(MOD(SK[[#This Row],[GEREKLİ ADET]],2)=0,SK[[#This Row],[GEREKLİ ADET]],0)</f>
        <v>0</v>
      </c>
      <c r="H16" s="9">
        <f>SK[[#This Row],[SONDAN KALAN FİRE]]</f>
        <v>0</v>
      </c>
    </row>
    <row r="17" spans="1:8" x14ac:dyDescent="0.3">
      <c r="A17" s="12">
        <f>SK[[#This Row],[TARİH]]</f>
        <v>45895</v>
      </c>
      <c r="B17" s="9" t="str">
        <f>SK[[#This Row],[TÜR]]</f>
        <v>KUTU PROFİL</v>
      </c>
      <c r="C17" s="9" t="str">
        <f>SK[[#This Row],[MALZEME ]]</f>
        <v>RHS 100X50X3</v>
      </c>
      <c r="D17" s="9" t="str">
        <f>SK[[#This Row],[KALİTE]]</f>
        <v>S235JR</v>
      </c>
      <c r="E17" s="11">
        <f>SK[[#This Row],[FİRE]]</f>
        <v>4728</v>
      </c>
      <c r="F17" s="11">
        <f>SK[[#This Row],[EŞİT FİRE]]</f>
        <v>2364</v>
      </c>
      <c r="G17" s="9">
        <f>IF(MOD(SK[[#This Row],[GEREKLİ ADET]],2)=0,SK[[#This Row],[GEREKLİ ADET]],0)</f>
        <v>2</v>
      </c>
      <c r="H17" s="9">
        <f>SK[[#This Row],[SONDAN KALAN FİRE]]</f>
        <v>0</v>
      </c>
    </row>
    <row r="18" spans="1:8" x14ac:dyDescent="0.3">
      <c r="A18" s="12">
        <f>SK[[#This Row],[TARİH]]</f>
        <v>0</v>
      </c>
      <c r="B18" s="9">
        <f>SK[[#This Row],[TÜR]]</f>
        <v>0</v>
      </c>
      <c r="C18" s="9">
        <f>SK[[#This Row],[MALZEME ]]</f>
        <v>0</v>
      </c>
      <c r="D18" s="9">
        <f>SK[[#This Row],[KALİTE]]</f>
        <v>0</v>
      </c>
      <c r="E18" s="11">
        <f>SK[[#This Row],[FİRE]]</f>
        <v>0</v>
      </c>
      <c r="F18" s="11">
        <f>SK[[#This Row],[EŞİT FİRE]]</f>
        <v>0</v>
      </c>
      <c r="G18" s="9">
        <f>IF(MOD(SK[[#This Row],[GEREKLİ ADET]],2)=0,SK[[#This Row],[GEREKLİ ADET]],0)</f>
        <v>0</v>
      </c>
      <c r="H18" s="9">
        <f>SK[[#This Row],[SONDAN KALAN FİRE]]</f>
        <v>0</v>
      </c>
    </row>
    <row r="19" spans="1:8" x14ac:dyDescent="0.3">
      <c r="A19" s="12">
        <f>SK[[#This Row],[TARİH]]</f>
        <v>0</v>
      </c>
      <c r="B19" s="9">
        <f>SK[[#This Row],[TÜR]]</f>
        <v>0</v>
      </c>
      <c r="C19" s="9">
        <f>SK[[#This Row],[MALZEME ]]</f>
        <v>0</v>
      </c>
      <c r="D19" s="9">
        <f>SK[[#This Row],[KALİTE]]</f>
        <v>0</v>
      </c>
      <c r="E19" s="11">
        <f>SK[[#This Row],[FİRE]]</f>
        <v>0</v>
      </c>
      <c r="F19" s="11">
        <f>SK[[#This Row],[EŞİT FİRE]]</f>
        <v>0</v>
      </c>
      <c r="G19" s="9">
        <f>IF(MOD(SK[[#This Row],[GEREKLİ ADET]],2)=0,SK[[#This Row],[GEREKLİ ADET]],0)</f>
        <v>0</v>
      </c>
      <c r="H19" s="9">
        <f>SK[[#This Row],[SONDAN KALAN FİRE]]</f>
        <v>0</v>
      </c>
    </row>
    <row r="20" spans="1:8" x14ac:dyDescent="0.3">
      <c r="A20" s="12">
        <f>SK[[#This Row],[TARİH]]</f>
        <v>0</v>
      </c>
      <c r="B20" s="9">
        <f>SK[[#This Row],[TÜR]]</f>
        <v>0</v>
      </c>
      <c r="C20" s="9">
        <f>SK[[#This Row],[MALZEME ]]</f>
        <v>0</v>
      </c>
      <c r="D20" s="9">
        <f>SK[[#This Row],[KALİTE]]</f>
        <v>0</v>
      </c>
      <c r="E20" s="11">
        <f>SK[[#This Row],[FİRE]]</f>
        <v>0</v>
      </c>
      <c r="F20" s="11">
        <f>SK[[#This Row],[EŞİT FİRE]]</f>
        <v>0</v>
      </c>
      <c r="G20" s="9">
        <f>IF(MOD(SK[[#This Row],[GEREKLİ ADET]],2)=0,SK[[#This Row],[GEREKLİ ADET]],0)</f>
        <v>0</v>
      </c>
      <c r="H20" s="9">
        <f>SK[[#This Row],[SONDAN KALAN FİRE]]</f>
        <v>0</v>
      </c>
    </row>
    <row r="21" spans="1:8" x14ac:dyDescent="0.3">
      <c r="A21" s="12">
        <f>SK[[#This Row],[TARİH]]</f>
        <v>0</v>
      </c>
      <c r="B21" s="9">
        <f>SK[[#This Row],[TÜR]]</f>
        <v>0</v>
      </c>
      <c r="C21" s="9">
        <f>SK[[#This Row],[MALZEME ]]</f>
        <v>0</v>
      </c>
      <c r="D21" s="9">
        <f>SK[[#This Row],[KALİTE]]</f>
        <v>0</v>
      </c>
      <c r="E21" s="11">
        <f>SK[[#This Row],[FİRE]]</f>
        <v>0</v>
      </c>
      <c r="F21" s="11">
        <f>SK[[#This Row],[EŞİT FİRE]]</f>
        <v>0</v>
      </c>
      <c r="G21" s="9">
        <f>IF(MOD(SK[[#This Row],[GEREKLİ ADET]],2)=0,SK[[#This Row],[GEREKLİ ADET]],0)</f>
        <v>0</v>
      </c>
      <c r="H21" s="9">
        <f>SK[[#This Row],[SONDAN KALAN FİRE]]</f>
        <v>0</v>
      </c>
    </row>
    <row r="22" spans="1:8" x14ac:dyDescent="0.3">
      <c r="A22" s="12">
        <f>SK[[#This Row],[TARİH]]</f>
        <v>0</v>
      </c>
      <c r="B22" s="9">
        <f>SK[[#This Row],[TÜR]]</f>
        <v>0</v>
      </c>
      <c r="C22" s="9">
        <f>SK[[#This Row],[MALZEME ]]</f>
        <v>0</v>
      </c>
      <c r="D22" s="9">
        <f>SK[[#This Row],[KALİTE]]</f>
        <v>0</v>
      </c>
      <c r="E22" s="11">
        <f>SK[[#This Row],[FİRE]]</f>
        <v>0</v>
      </c>
      <c r="F22" s="11">
        <f>SK[[#This Row],[EŞİT FİRE]]</f>
        <v>0</v>
      </c>
      <c r="G22" s="9">
        <f>IF(MOD(SK[[#This Row],[GEREKLİ ADET]],2)=0,SK[[#This Row],[GEREKLİ ADET]],0)</f>
        <v>0</v>
      </c>
      <c r="H22" s="9">
        <f>SK[[#This Row],[SONDAN KALAN FİRE]]</f>
        <v>0</v>
      </c>
    </row>
    <row r="23" spans="1:8" x14ac:dyDescent="0.3">
      <c r="A23" s="12">
        <f>SK[[#This Row],[TARİH]]</f>
        <v>45895</v>
      </c>
      <c r="B23" s="9" t="str">
        <f>SK[[#This Row],[TÜR]]</f>
        <v>BORU PROFİL</v>
      </c>
      <c r="C23" s="9" t="str">
        <f>SK[[#This Row],[MALZEME ]]</f>
        <v>CHS 76,3X4</v>
      </c>
      <c r="D23" s="9" t="str">
        <f>SK[[#This Row],[KALİTE]]</f>
        <v>S355J2</v>
      </c>
      <c r="E23" s="11">
        <f>SK[[#This Row],[FİRE]]</f>
        <v>0</v>
      </c>
      <c r="F23" s="11">
        <f>SK[[#This Row],[EŞİT FİRE]]</f>
        <v>0</v>
      </c>
      <c r="G23" s="9">
        <f>IF(MOD(SK[[#This Row],[GEREKLİ ADET]],2)=0,SK[[#This Row],[GEREKLİ ADET]],0)</f>
        <v>2</v>
      </c>
      <c r="H23" s="9">
        <f>SK[[#This Row],[SONDAN KALAN FİRE]]</f>
        <v>0</v>
      </c>
    </row>
    <row r="24" spans="1:8" x14ac:dyDescent="0.3">
      <c r="A24" s="12">
        <f>SK[[#This Row],[TARİH]]</f>
        <v>0</v>
      </c>
      <c r="B24" s="9">
        <f>SK[[#This Row],[TÜR]]</f>
        <v>0</v>
      </c>
      <c r="C24" s="9">
        <f>SK[[#This Row],[MALZEME ]]</f>
        <v>0</v>
      </c>
      <c r="D24" s="9">
        <f>SK[[#This Row],[KALİTE]]</f>
        <v>0</v>
      </c>
      <c r="E24" s="11">
        <f>SK[[#This Row],[FİRE]]</f>
        <v>0</v>
      </c>
      <c r="F24" s="11">
        <f>SK[[#This Row],[EŞİT FİRE]]</f>
        <v>0</v>
      </c>
      <c r="G24" s="9">
        <f>IF(MOD(SK[[#This Row],[GEREKLİ ADET]],2)=0,SK[[#This Row],[GEREKLİ ADET]],0)</f>
        <v>0</v>
      </c>
      <c r="H24" s="9">
        <f>SK[[#This Row],[SONDAN KALAN FİRE]]</f>
        <v>0</v>
      </c>
    </row>
    <row r="25" spans="1:8" x14ac:dyDescent="0.3">
      <c r="A25" s="12">
        <f>SK[[#This Row],[TARİH]]</f>
        <v>0</v>
      </c>
      <c r="B25" s="9">
        <f>SK[[#This Row],[TÜR]]</f>
        <v>0</v>
      </c>
      <c r="C25" s="9">
        <f>SK[[#This Row],[MALZEME ]]</f>
        <v>0</v>
      </c>
      <c r="D25" s="9">
        <f>SK[[#This Row],[KALİTE]]</f>
        <v>0</v>
      </c>
      <c r="E25" s="11">
        <f>SK[[#This Row],[FİRE]]</f>
        <v>0</v>
      </c>
      <c r="F25" s="11">
        <f>SK[[#This Row],[EŞİT FİRE]]</f>
        <v>0</v>
      </c>
      <c r="G25" s="9">
        <f>IF(MOD(SK[[#This Row],[GEREKLİ ADET]],2)=0,SK[[#This Row],[GEREKLİ ADET]],0)</f>
        <v>0</v>
      </c>
      <c r="H25" s="9">
        <f>SK[[#This Row],[SONDAN KALAN FİRE]]</f>
        <v>0</v>
      </c>
    </row>
    <row r="26" spans="1:8" x14ac:dyDescent="0.3">
      <c r="A26" s="12">
        <f>SK[[#This Row],[TARİH]]</f>
        <v>0</v>
      </c>
      <c r="B26" s="9">
        <f>SK[[#This Row],[TÜR]]</f>
        <v>0</v>
      </c>
      <c r="C26" s="9">
        <f>SK[[#This Row],[MALZEME ]]</f>
        <v>0</v>
      </c>
      <c r="D26" s="9">
        <f>SK[[#This Row],[KALİTE]]</f>
        <v>0</v>
      </c>
      <c r="E26" s="11">
        <f>SK[[#This Row],[FİRE]]</f>
        <v>0</v>
      </c>
      <c r="F26" s="11">
        <f>SK[[#This Row],[EŞİT FİRE]]</f>
        <v>0</v>
      </c>
      <c r="G26" s="9">
        <f>IF(MOD(SK[[#This Row],[GEREKLİ ADET]],2)=0,SK[[#This Row],[GEREKLİ ADET]],0)</f>
        <v>0</v>
      </c>
      <c r="H26" s="9">
        <f>SK[[#This Row],[SONDAN KALAN FİRE]]</f>
        <v>0</v>
      </c>
    </row>
    <row r="27" spans="1:8" x14ac:dyDescent="0.3">
      <c r="A27" s="12">
        <f>SK[[#This Row],[TARİH]]</f>
        <v>0</v>
      </c>
      <c r="B27" s="9">
        <f>SK[[#This Row],[TÜR]]</f>
        <v>0</v>
      </c>
      <c r="C27" s="9">
        <f>SK[[#This Row],[MALZEME ]]</f>
        <v>0</v>
      </c>
      <c r="D27" s="9">
        <f>SK[[#This Row],[KALİTE]]</f>
        <v>0</v>
      </c>
      <c r="E27" s="11">
        <f>SK[[#This Row],[FİRE]]</f>
        <v>0</v>
      </c>
      <c r="F27" s="11">
        <f>SK[[#This Row],[EŞİT FİRE]]</f>
        <v>0</v>
      </c>
      <c r="G27" s="9">
        <f>IF(MOD(SK[[#This Row],[GEREKLİ ADET]],2)=0,SK[[#This Row],[GEREKLİ ADET]],0)</f>
        <v>0</v>
      </c>
      <c r="H27" s="9">
        <f>SK[[#This Row],[SONDAN KALAN FİRE]]</f>
        <v>0</v>
      </c>
    </row>
    <row r="28" spans="1:8" x14ac:dyDescent="0.3">
      <c r="A28" s="12">
        <f>SK[[#This Row],[TARİH]]</f>
        <v>0</v>
      </c>
      <c r="B28" s="9">
        <f>SK[[#This Row],[TÜR]]</f>
        <v>0</v>
      </c>
      <c r="C28" s="9">
        <f>SK[[#This Row],[MALZEME ]]</f>
        <v>0</v>
      </c>
      <c r="D28" s="9">
        <f>SK[[#This Row],[KALİTE]]</f>
        <v>0</v>
      </c>
      <c r="E28" s="11">
        <f>SK[[#This Row],[FİRE]]</f>
        <v>0</v>
      </c>
      <c r="F28" s="11">
        <f>SK[[#This Row],[EŞİT FİRE]]</f>
        <v>0</v>
      </c>
      <c r="G28" s="9">
        <f>IF(MOD(SK[[#This Row],[GEREKLİ ADET]],2)=0,SK[[#This Row],[GEREKLİ ADET]],0)</f>
        <v>0</v>
      </c>
      <c r="H28" s="9">
        <f>SK[[#This Row],[SONDAN KALAN FİRE]]</f>
        <v>0</v>
      </c>
    </row>
    <row r="29" spans="1:8" x14ac:dyDescent="0.3">
      <c r="A29" s="12">
        <f>SK[[#This Row],[TARİH]]</f>
        <v>0</v>
      </c>
      <c r="B29" s="9">
        <f>SK[[#This Row],[TÜR]]</f>
        <v>0</v>
      </c>
      <c r="C29" s="9">
        <f>SK[[#This Row],[MALZEME ]]</f>
        <v>0</v>
      </c>
      <c r="D29" s="9">
        <f>SK[[#This Row],[KALİTE]]</f>
        <v>0</v>
      </c>
      <c r="E29" s="11">
        <f>SK[[#This Row],[FİRE]]</f>
        <v>0</v>
      </c>
      <c r="F29" s="11">
        <f>SK[[#This Row],[EŞİT FİRE]]</f>
        <v>0</v>
      </c>
      <c r="G29" s="9">
        <f>IF(MOD(SK[[#This Row],[GEREKLİ ADET]],2)=0,SK[[#This Row],[GEREKLİ ADET]],0)</f>
        <v>0</v>
      </c>
      <c r="H29" s="9">
        <f>SK[[#This Row],[SONDAN KALAN FİRE]]</f>
        <v>0</v>
      </c>
    </row>
    <row r="30" spans="1:8" x14ac:dyDescent="0.3">
      <c r="A30" s="12">
        <f>SK[[#This Row],[TARİH]]</f>
        <v>0</v>
      </c>
      <c r="B30" s="9">
        <f>SK[[#This Row],[TÜR]]</f>
        <v>0</v>
      </c>
      <c r="C30" s="9">
        <f>SK[[#This Row],[MALZEME ]]</f>
        <v>0</v>
      </c>
      <c r="D30" s="9">
        <f>SK[[#This Row],[KALİTE]]</f>
        <v>0</v>
      </c>
      <c r="E30" s="11">
        <f>SK[[#This Row],[FİRE]]</f>
        <v>0</v>
      </c>
      <c r="F30" s="11">
        <f>SK[[#This Row],[EŞİT FİRE]]</f>
        <v>0</v>
      </c>
      <c r="G30" s="9">
        <f>IF(MOD(SK[[#This Row],[GEREKLİ ADET]],2)=0,SK[[#This Row],[GEREKLİ ADET]],0)</f>
        <v>0</v>
      </c>
      <c r="H30" s="9">
        <f>SK[[#This Row],[SONDAN KALAN FİRE]]</f>
        <v>0</v>
      </c>
    </row>
    <row r="31" spans="1:8" x14ac:dyDescent="0.3">
      <c r="A31" s="12">
        <f>SK[[#This Row],[TARİH]]</f>
        <v>0</v>
      </c>
      <c r="B31" s="9">
        <f>SK[[#This Row],[TÜR]]</f>
        <v>0</v>
      </c>
      <c r="C31" s="9">
        <f>SK[[#This Row],[MALZEME ]]</f>
        <v>0</v>
      </c>
      <c r="D31" s="9">
        <f>SK[[#This Row],[KALİTE]]</f>
        <v>0</v>
      </c>
      <c r="E31" s="11">
        <f>SK[[#This Row],[FİRE]]</f>
        <v>0</v>
      </c>
      <c r="F31" s="11">
        <f>SK[[#This Row],[EŞİT FİRE]]</f>
        <v>0</v>
      </c>
      <c r="G31" s="9">
        <f>IF(MOD(SK[[#This Row],[GEREKLİ ADET]],2)=0,SK[[#This Row],[GEREKLİ ADET]],0)</f>
        <v>0</v>
      </c>
      <c r="H31" s="9">
        <f>SK[[#This Row],[SONDAN KALAN FİRE]]</f>
        <v>0</v>
      </c>
    </row>
    <row r="32" spans="1:8" x14ac:dyDescent="0.3">
      <c r="A32" s="12">
        <f>SK[[#This Row],[TARİH]]</f>
        <v>0</v>
      </c>
      <c r="B32" s="9">
        <f>SK[[#This Row],[TÜR]]</f>
        <v>0</v>
      </c>
      <c r="C32" s="9">
        <f>SK[[#This Row],[MALZEME ]]</f>
        <v>0</v>
      </c>
      <c r="D32" s="9">
        <f>SK[[#This Row],[KALİTE]]</f>
        <v>0</v>
      </c>
      <c r="E32" s="11">
        <f>SK[[#This Row],[FİRE]]</f>
        <v>0</v>
      </c>
      <c r="F32" s="11">
        <f>SK[[#This Row],[EŞİT FİRE]]</f>
        <v>0</v>
      </c>
      <c r="G32" s="9">
        <f>IF(MOD(SK[[#This Row],[GEREKLİ ADET]],2)=0,SK[[#This Row],[GEREKLİ ADET]],0)</f>
        <v>0</v>
      </c>
      <c r="H32" s="9">
        <f>SK[[#This Row],[SONDAN KALAN FİRE]]</f>
        <v>0</v>
      </c>
    </row>
    <row r="33" spans="1:8" x14ac:dyDescent="0.3">
      <c r="A33" s="12">
        <f>SK[[#This Row],[TARİH]]</f>
        <v>0</v>
      </c>
      <c r="B33" s="9">
        <f>SK[[#This Row],[TÜR]]</f>
        <v>0</v>
      </c>
      <c r="C33" s="9">
        <f>SK[[#This Row],[MALZEME ]]</f>
        <v>0</v>
      </c>
      <c r="D33" s="9">
        <f>SK[[#This Row],[KALİTE]]</f>
        <v>0</v>
      </c>
      <c r="E33" s="11">
        <f>SK[[#This Row],[FİRE]]</f>
        <v>0</v>
      </c>
      <c r="F33" s="11">
        <f>SK[[#This Row],[EŞİT FİRE]]</f>
        <v>0</v>
      </c>
      <c r="G33" s="9">
        <f>IF(MOD(SK[[#This Row],[GEREKLİ ADET]],2)=0,SK[[#This Row],[GEREKLİ ADET]],0)</f>
        <v>0</v>
      </c>
      <c r="H33" s="9">
        <f>SK[[#This Row],[SONDAN KALAN FİRE]]</f>
        <v>0</v>
      </c>
    </row>
    <row r="34" spans="1:8" x14ac:dyDescent="0.3">
      <c r="A34" s="12">
        <f>SK[[#This Row],[TARİH]]</f>
        <v>0</v>
      </c>
      <c r="B34" s="9">
        <f>SK[[#This Row],[TÜR]]</f>
        <v>0</v>
      </c>
      <c r="C34" s="9">
        <f>SK[[#This Row],[MALZEME ]]</f>
        <v>0</v>
      </c>
      <c r="D34" s="9">
        <f>SK[[#This Row],[KALİTE]]</f>
        <v>0</v>
      </c>
      <c r="E34" s="11">
        <f>SK[[#This Row],[FİRE]]</f>
        <v>0</v>
      </c>
      <c r="F34" s="11">
        <f>SK[[#This Row],[EŞİT FİRE]]</f>
        <v>0</v>
      </c>
      <c r="G34" s="9">
        <f>IF(MOD(SK[[#This Row],[GEREKLİ ADET]],2)=0,SK[[#This Row],[GEREKLİ ADET]],0)</f>
        <v>0</v>
      </c>
      <c r="H34" s="9">
        <f>SK[[#This Row],[SONDAN KALAN FİRE]]</f>
        <v>0</v>
      </c>
    </row>
    <row r="35" spans="1:8" x14ac:dyDescent="0.3">
      <c r="A35" s="12">
        <f>SK[[#This Row],[TARİH]]</f>
        <v>0</v>
      </c>
      <c r="B35" s="9">
        <f>SK[[#This Row],[TÜR]]</f>
        <v>0</v>
      </c>
      <c r="C35" s="9">
        <f>SK[[#This Row],[MALZEME ]]</f>
        <v>0</v>
      </c>
      <c r="D35" s="9">
        <f>SK[[#This Row],[KALİTE]]</f>
        <v>0</v>
      </c>
      <c r="E35" s="11">
        <f>SK[[#This Row],[FİRE]]</f>
        <v>0</v>
      </c>
      <c r="F35" s="11">
        <f>SK[[#This Row],[EŞİT FİRE]]</f>
        <v>0</v>
      </c>
      <c r="G35" s="9">
        <f>IF(MOD(SK[[#This Row],[GEREKLİ ADET]],2)=0,SK[[#This Row],[GEREKLİ ADET]],0)</f>
        <v>0</v>
      </c>
      <c r="H35" s="9">
        <f>SK[[#This Row],[SONDAN KALAN FİRE]]</f>
        <v>0</v>
      </c>
    </row>
    <row r="36" spans="1:8" x14ac:dyDescent="0.3">
      <c r="A36" s="12">
        <f>SK[[#This Row],[TARİH]]</f>
        <v>0</v>
      </c>
      <c r="B36" s="9">
        <f>SK[[#This Row],[TÜR]]</f>
        <v>0</v>
      </c>
      <c r="C36" s="9">
        <f>SK[[#This Row],[MALZEME ]]</f>
        <v>0</v>
      </c>
      <c r="D36" s="9">
        <f>SK[[#This Row],[KALİTE]]</f>
        <v>0</v>
      </c>
      <c r="E36" s="11">
        <f>SK[[#This Row],[FİRE]]</f>
        <v>0</v>
      </c>
      <c r="F36" s="11">
        <f>SK[[#This Row],[EŞİT FİRE]]</f>
        <v>0</v>
      </c>
      <c r="G36" s="9">
        <f>IF(MOD(SK[[#This Row],[GEREKLİ ADET]],2)=0,SK[[#This Row],[GEREKLİ ADET]],0)</f>
        <v>0</v>
      </c>
      <c r="H36" s="9">
        <f>SK[[#This Row],[SONDAN KALAN FİRE]]</f>
        <v>0</v>
      </c>
    </row>
    <row r="37" spans="1:8" x14ac:dyDescent="0.3">
      <c r="A37" s="12">
        <f>SK[[#This Row],[TARİH]]</f>
        <v>0</v>
      </c>
      <c r="B37" s="9">
        <f>SK[[#This Row],[TÜR]]</f>
        <v>0</v>
      </c>
      <c r="C37" s="9">
        <f>SK[[#This Row],[MALZEME ]]</f>
        <v>0</v>
      </c>
      <c r="D37" s="9">
        <f>SK[[#This Row],[KALİTE]]</f>
        <v>0</v>
      </c>
      <c r="E37" s="11">
        <f>SK[[#This Row],[FİRE]]</f>
        <v>0</v>
      </c>
      <c r="F37" s="11">
        <f>SK[[#This Row],[EŞİT FİRE]]</f>
        <v>0</v>
      </c>
      <c r="G37" s="9">
        <f>IF(MOD(SK[[#This Row],[GEREKLİ ADET]],2)=0,SK[[#This Row],[GEREKLİ ADET]],0)</f>
        <v>0</v>
      </c>
      <c r="H37" s="9">
        <f>SK[[#This Row],[SONDAN KALAN FİRE]]</f>
        <v>0</v>
      </c>
    </row>
    <row r="38" spans="1:8" x14ac:dyDescent="0.3">
      <c r="A38" s="12">
        <f>SK[[#This Row],[TARİH]]</f>
        <v>0</v>
      </c>
      <c r="B38" s="9">
        <f>SK[[#This Row],[TÜR]]</f>
        <v>0</v>
      </c>
      <c r="C38" s="9">
        <f>SK[[#This Row],[MALZEME ]]</f>
        <v>0</v>
      </c>
      <c r="D38" s="9">
        <f>SK[[#This Row],[KALİTE]]</f>
        <v>0</v>
      </c>
      <c r="E38" s="11">
        <f>SK[[#This Row],[FİRE]]</f>
        <v>0</v>
      </c>
      <c r="F38" s="11">
        <f>SK[[#This Row],[EŞİT FİRE]]</f>
        <v>0</v>
      </c>
      <c r="G38" s="9">
        <f>IF(MOD(SK[[#This Row],[GEREKLİ ADET]],2)=0,SK[[#This Row],[GEREKLİ ADET]],0)</f>
        <v>0</v>
      </c>
      <c r="H38" s="9">
        <f>SK[[#This Row],[SONDAN KALAN FİRE]]</f>
        <v>0</v>
      </c>
    </row>
    <row r="39" spans="1:8" x14ac:dyDescent="0.3">
      <c r="A39" s="12">
        <f>SK[[#This Row],[TARİH]]</f>
        <v>0</v>
      </c>
      <c r="B39" s="9">
        <f>SK[[#This Row],[TÜR]]</f>
        <v>0</v>
      </c>
      <c r="C39" s="9">
        <f>SK[[#This Row],[MALZEME ]]</f>
        <v>0</v>
      </c>
      <c r="D39" s="9">
        <f>SK[[#This Row],[KALİTE]]</f>
        <v>0</v>
      </c>
      <c r="E39" s="11">
        <f>SK[[#This Row],[FİRE]]</f>
        <v>0</v>
      </c>
      <c r="F39" s="11">
        <f>SK[[#This Row],[EŞİT FİRE]]</f>
        <v>0</v>
      </c>
      <c r="G39" s="9">
        <f>IF(MOD(SK[[#This Row],[GEREKLİ ADET]],2)=0,SK[[#This Row],[GEREKLİ ADET]],0)</f>
        <v>0</v>
      </c>
      <c r="H39" s="9">
        <f>SK[[#This Row],[SONDAN KALAN FİRE]]</f>
        <v>0</v>
      </c>
    </row>
    <row r="40" spans="1:8" x14ac:dyDescent="0.3">
      <c r="A40" s="12">
        <f>SK[[#This Row],[TARİH]]</f>
        <v>0</v>
      </c>
      <c r="B40" s="9">
        <f>SK[[#This Row],[TÜR]]</f>
        <v>0</v>
      </c>
      <c r="C40" s="9">
        <f>SK[[#This Row],[MALZEME ]]</f>
        <v>0</v>
      </c>
      <c r="D40" s="9">
        <f>SK[[#This Row],[KALİTE]]</f>
        <v>0</v>
      </c>
      <c r="E40" s="11">
        <f>SK[[#This Row],[FİRE]]</f>
        <v>0</v>
      </c>
      <c r="F40" s="11">
        <f>SK[[#This Row],[EŞİT FİRE]]</f>
        <v>0</v>
      </c>
      <c r="G40" s="9">
        <f>IF(MOD(SK[[#This Row],[GEREKLİ ADET]],2)=0,SK[[#This Row],[GEREKLİ ADET]],0)</f>
        <v>0</v>
      </c>
      <c r="H40" s="9">
        <f>SK[[#This Row],[SONDAN KALAN FİRE]]</f>
        <v>0</v>
      </c>
    </row>
    <row r="41" spans="1:8" x14ac:dyDescent="0.3">
      <c r="A41" s="12">
        <f>SK[[#This Row],[TARİH]]</f>
        <v>0</v>
      </c>
      <c r="B41" s="9">
        <f>SK[[#This Row],[TÜR]]</f>
        <v>0</v>
      </c>
      <c r="C41" s="9">
        <f>SK[[#This Row],[MALZEME ]]</f>
        <v>0</v>
      </c>
      <c r="D41" s="9">
        <f>SK[[#This Row],[KALİTE]]</f>
        <v>0</v>
      </c>
      <c r="E41" s="11">
        <f>SK[[#This Row],[FİRE]]</f>
        <v>0</v>
      </c>
      <c r="F41" s="11">
        <f>SK[[#This Row],[EŞİT FİRE]]</f>
        <v>0</v>
      </c>
      <c r="G41" s="9">
        <f>IF(MOD(SK[[#This Row],[GEREKLİ ADET]],2)=0,SK[[#This Row],[GEREKLİ ADET]],0)</f>
        <v>0</v>
      </c>
      <c r="H41" s="9">
        <f>SK[[#This Row],[SONDAN KALAN FİRE]]</f>
        <v>0</v>
      </c>
    </row>
    <row r="42" spans="1:8" x14ac:dyDescent="0.3">
      <c r="A42" s="12">
        <f>SK[[#This Row],[TARİH]]</f>
        <v>0</v>
      </c>
      <c r="B42" s="9">
        <f>SK[[#This Row],[TÜR]]</f>
        <v>0</v>
      </c>
      <c r="C42" s="9">
        <f>SK[[#This Row],[MALZEME ]]</f>
        <v>0</v>
      </c>
      <c r="D42" s="9">
        <f>SK[[#This Row],[KALİTE]]</f>
        <v>0</v>
      </c>
      <c r="E42" s="11">
        <f>SK[[#This Row],[FİRE]]</f>
        <v>0</v>
      </c>
      <c r="F42" s="11">
        <f>SK[[#This Row],[EŞİT FİRE]]</f>
        <v>0</v>
      </c>
      <c r="G42" s="9">
        <f>IF(MOD(SK[[#This Row],[GEREKLİ ADET]],2)=0,SK[[#This Row],[GEREKLİ ADET]],0)</f>
        <v>0</v>
      </c>
      <c r="H42" s="9">
        <f>SK[[#This Row],[SONDAN KALAN FİRE]]</f>
        <v>0</v>
      </c>
    </row>
    <row r="43" spans="1:8" x14ac:dyDescent="0.3">
      <c r="A43" s="12">
        <f>SK[[#This Row],[TARİH]]</f>
        <v>0</v>
      </c>
      <c r="B43" s="9">
        <f>SK[[#This Row],[TÜR]]</f>
        <v>0</v>
      </c>
      <c r="C43" s="9">
        <f>SK[[#This Row],[MALZEME ]]</f>
        <v>0</v>
      </c>
      <c r="D43" s="9">
        <f>SK[[#This Row],[KALİTE]]</f>
        <v>0</v>
      </c>
      <c r="E43" s="11">
        <f>SK[[#This Row],[FİRE]]</f>
        <v>0</v>
      </c>
      <c r="F43" s="11">
        <f>SK[[#This Row],[EŞİT FİRE]]</f>
        <v>0</v>
      </c>
      <c r="G43" s="9">
        <f>IF(MOD(SK[[#This Row],[GEREKLİ ADET]],2)=0,SK[[#This Row],[GEREKLİ ADET]],0)</f>
        <v>0</v>
      </c>
      <c r="H43" s="9">
        <f>SK[[#This Row],[SONDAN KALAN FİRE]]</f>
        <v>0</v>
      </c>
    </row>
    <row r="44" spans="1:8" x14ac:dyDescent="0.3">
      <c r="A44" s="12">
        <f>SK[[#This Row],[TARİH]]</f>
        <v>0</v>
      </c>
      <c r="B44" s="9">
        <f>SK[[#This Row],[TÜR]]</f>
        <v>0</v>
      </c>
      <c r="C44" s="9">
        <f>SK[[#This Row],[MALZEME ]]</f>
        <v>0</v>
      </c>
      <c r="D44" s="9">
        <f>SK[[#This Row],[KALİTE]]</f>
        <v>0</v>
      </c>
      <c r="E44" s="11">
        <f>SK[[#This Row],[FİRE]]</f>
        <v>0</v>
      </c>
      <c r="F44" s="11">
        <f>SK[[#This Row],[EŞİT FİRE]]</f>
        <v>0</v>
      </c>
      <c r="G44" s="9">
        <f>IF(MOD(SK[[#This Row],[GEREKLİ ADET]],2)=0,SK[[#This Row],[GEREKLİ ADET]],0)</f>
        <v>0</v>
      </c>
      <c r="H44" s="9">
        <f>SK[[#This Row],[SONDAN KALAN FİRE]]</f>
        <v>0</v>
      </c>
    </row>
    <row r="45" spans="1:8" x14ac:dyDescent="0.3">
      <c r="A45" s="12">
        <f>SK[[#This Row],[TARİH]]</f>
        <v>0</v>
      </c>
      <c r="B45" s="9">
        <f>SK[[#This Row],[TÜR]]</f>
        <v>0</v>
      </c>
      <c r="C45" s="9">
        <f>SK[[#This Row],[MALZEME ]]</f>
        <v>0</v>
      </c>
      <c r="D45" s="9">
        <f>SK[[#This Row],[KALİTE]]</f>
        <v>0</v>
      </c>
      <c r="E45" s="11">
        <f>SK[[#This Row],[FİRE]]</f>
        <v>0</v>
      </c>
      <c r="F45" s="11">
        <f>SK[[#This Row],[EŞİT FİRE]]</f>
        <v>0</v>
      </c>
      <c r="G45" s="9">
        <f>IF(MOD(SK[[#This Row],[GEREKLİ ADET]],2)=0,SK[[#This Row],[GEREKLİ ADET]],0)</f>
        <v>0</v>
      </c>
      <c r="H45" s="9">
        <f>SK[[#This Row],[SONDAN KALAN FİRE]]</f>
        <v>0</v>
      </c>
    </row>
    <row r="46" spans="1:8" x14ac:dyDescent="0.3">
      <c r="A46" s="12">
        <f>SK[[#This Row],[TARİH]]</f>
        <v>0</v>
      </c>
      <c r="B46" s="9">
        <f>SK[[#This Row],[TÜR]]</f>
        <v>0</v>
      </c>
      <c r="C46" s="9">
        <f>SK[[#This Row],[MALZEME ]]</f>
        <v>0</v>
      </c>
      <c r="D46" s="9">
        <f>SK[[#This Row],[KALİTE]]</f>
        <v>0</v>
      </c>
      <c r="E46" s="11">
        <f>SK[[#This Row],[FİRE]]</f>
        <v>0</v>
      </c>
      <c r="F46" s="11">
        <f>SK[[#This Row],[EŞİT FİRE]]</f>
        <v>0</v>
      </c>
      <c r="G46" s="9">
        <f>IF(MOD(SK[[#This Row],[GEREKLİ ADET]],2)=0,SK[[#This Row],[GEREKLİ ADET]],0)</f>
        <v>0</v>
      </c>
      <c r="H46" s="9">
        <f>SK[[#This Row],[SONDAN KALAN FİRE]]</f>
        <v>0</v>
      </c>
    </row>
    <row r="47" spans="1:8" x14ac:dyDescent="0.3">
      <c r="A47" s="12">
        <f>SK[[#This Row],[TARİH]]</f>
        <v>0</v>
      </c>
      <c r="B47" s="9">
        <f>SK[[#This Row],[TÜR]]</f>
        <v>0</v>
      </c>
      <c r="C47" s="9">
        <f>SK[[#This Row],[MALZEME ]]</f>
        <v>0</v>
      </c>
      <c r="D47" s="9">
        <f>SK[[#This Row],[KALİTE]]</f>
        <v>0</v>
      </c>
      <c r="E47" s="11">
        <f>SK[[#This Row],[FİRE]]</f>
        <v>0</v>
      </c>
      <c r="F47" s="11">
        <f>SK[[#This Row],[EŞİT FİRE]]</f>
        <v>0</v>
      </c>
      <c r="G47" s="9">
        <f>IF(MOD(SK[[#This Row],[GEREKLİ ADET]],2)=0,SK[[#This Row],[GEREKLİ ADET]],0)</f>
        <v>0</v>
      </c>
      <c r="H47" s="9">
        <f>SK[[#This Row],[SONDAN KALAN FİRE]]</f>
        <v>0</v>
      </c>
    </row>
    <row r="48" spans="1:8" x14ac:dyDescent="0.3">
      <c r="A48" s="12">
        <f>SK[[#This Row],[TARİH]]</f>
        <v>0</v>
      </c>
      <c r="B48" s="9">
        <f>SK[[#This Row],[TÜR]]</f>
        <v>0</v>
      </c>
      <c r="C48" s="9">
        <f>SK[[#This Row],[MALZEME ]]</f>
        <v>0</v>
      </c>
      <c r="D48" s="9">
        <f>SK[[#This Row],[KALİTE]]</f>
        <v>0</v>
      </c>
      <c r="E48" s="11">
        <f>SK[[#This Row],[FİRE]]</f>
        <v>0</v>
      </c>
      <c r="F48" s="11">
        <f>SK[[#This Row],[EŞİT FİRE]]</f>
        <v>0</v>
      </c>
      <c r="G48" s="9">
        <f>IF(MOD(SK[[#This Row],[GEREKLİ ADET]],2)=0,SK[[#This Row],[GEREKLİ ADET]],0)</f>
        <v>0</v>
      </c>
      <c r="H48" s="9">
        <f>SK[[#This Row],[SONDAN KALAN FİRE]]</f>
        <v>0</v>
      </c>
    </row>
    <row r="49" spans="1:8" x14ac:dyDescent="0.3">
      <c r="A49" s="12">
        <f>SK[[#This Row],[TARİH]]</f>
        <v>0</v>
      </c>
      <c r="B49" s="9">
        <f>SK[[#This Row],[TÜR]]</f>
        <v>0</v>
      </c>
      <c r="C49" s="9">
        <f>SK[[#This Row],[MALZEME ]]</f>
        <v>0</v>
      </c>
      <c r="D49" s="9">
        <f>SK[[#This Row],[KALİTE]]</f>
        <v>0</v>
      </c>
      <c r="E49" s="11">
        <f>SK[[#This Row],[FİRE]]</f>
        <v>0</v>
      </c>
      <c r="F49" s="11">
        <f>SK[[#This Row],[EŞİT FİRE]]</f>
        <v>0</v>
      </c>
      <c r="G49" s="9">
        <f>IF(MOD(SK[[#This Row],[GEREKLİ ADET]],2)=0,SK[[#This Row],[GEREKLİ ADET]],0)</f>
        <v>0</v>
      </c>
      <c r="H49" s="9">
        <f>SK[[#This Row],[SONDAN KALAN FİRE]]</f>
        <v>0</v>
      </c>
    </row>
    <row r="50" spans="1:8" x14ac:dyDescent="0.3">
      <c r="A50" s="12">
        <f>SK[[#This Row],[TARİH]]</f>
        <v>0</v>
      </c>
      <c r="B50" s="9">
        <f>SK[[#This Row],[TÜR]]</f>
        <v>0</v>
      </c>
      <c r="C50" s="9">
        <f>SK[[#This Row],[MALZEME ]]</f>
        <v>0</v>
      </c>
      <c r="D50" s="9">
        <f>SK[[#This Row],[KALİTE]]</f>
        <v>0</v>
      </c>
      <c r="E50" s="11">
        <f>SK[[#This Row],[FİRE]]</f>
        <v>0</v>
      </c>
      <c r="F50" s="11">
        <f>SK[[#This Row],[EŞİT FİRE]]</f>
        <v>0</v>
      </c>
      <c r="G50" s="9">
        <f>IF(MOD(SK[[#This Row],[GEREKLİ ADET]],2)=0,SK[[#This Row],[GEREKLİ ADET]],0)</f>
        <v>0</v>
      </c>
      <c r="H50" s="9">
        <f>SK[[#This Row],[SONDAN KALAN FİRE]]</f>
        <v>0</v>
      </c>
    </row>
    <row r="51" spans="1:8" x14ac:dyDescent="0.3">
      <c r="A51" s="12">
        <f>SK[[#This Row],[TARİH]]</f>
        <v>0</v>
      </c>
      <c r="B51" s="9">
        <f>SK[[#This Row],[TÜR]]</f>
        <v>0</v>
      </c>
      <c r="C51" s="9">
        <f>SK[[#This Row],[MALZEME ]]</f>
        <v>0</v>
      </c>
      <c r="D51" s="9">
        <f>SK[[#This Row],[KALİTE]]</f>
        <v>0</v>
      </c>
      <c r="E51" s="11">
        <f>SK[[#This Row],[FİRE]]</f>
        <v>0</v>
      </c>
      <c r="F51" s="11">
        <f>SK[[#This Row],[EŞİT FİRE]]</f>
        <v>0</v>
      </c>
      <c r="G51" s="9">
        <f>IF(MOD(SK[[#This Row],[GEREKLİ ADET]],2)=0,SK[[#This Row],[GEREKLİ ADET]],0)</f>
        <v>0</v>
      </c>
      <c r="H51" s="9">
        <f>SK[[#This Row],[SONDAN KALAN FİRE]]</f>
        <v>0</v>
      </c>
    </row>
    <row r="52" spans="1:8" x14ac:dyDescent="0.3">
      <c r="A52" s="12">
        <f>SK[[#This Row],[TARİH]]</f>
        <v>0</v>
      </c>
      <c r="B52" s="9">
        <f>SK[[#This Row],[TÜR]]</f>
        <v>0</v>
      </c>
      <c r="C52" s="9">
        <f>SK[[#This Row],[MALZEME ]]</f>
        <v>0</v>
      </c>
      <c r="D52" s="9">
        <f>SK[[#This Row],[KALİTE]]</f>
        <v>0</v>
      </c>
      <c r="E52" s="11">
        <f>SK[[#This Row],[FİRE]]</f>
        <v>0</v>
      </c>
      <c r="F52" s="11">
        <f>SK[[#This Row],[EŞİT FİRE]]</f>
        <v>0</v>
      </c>
      <c r="G52" s="9">
        <f>IF(MOD(SK[[#This Row],[GEREKLİ ADET]],2)=0,SK[[#This Row],[GEREKLİ ADET]],0)</f>
        <v>0</v>
      </c>
      <c r="H52" s="9">
        <f>SK[[#This Row],[SONDAN KALAN FİRE]]</f>
        <v>0</v>
      </c>
    </row>
    <row r="53" spans="1:8" x14ac:dyDescent="0.3">
      <c r="A53" s="12">
        <f>SK[[#This Row],[TARİH]]</f>
        <v>0</v>
      </c>
      <c r="B53" s="9">
        <f>SK[[#This Row],[TÜR]]</f>
        <v>0</v>
      </c>
      <c r="C53" s="9">
        <f>SK[[#This Row],[MALZEME ]]</f>
        <v>0</v>
      </c>
      <c r="D53" s="9">
        <f>SK[[#This Row],[KALİTE]]</f>
        <v>0</v>
      </c>
      <c r="E53" s="11">
        <f>SK[[#This Row],[FİRE]]</f>
        <v>0</v>
      </c>
      <c r="F53" s="11">
        <f>SK[[#This Row],[EŞİT FİRE]]</f>
        <v>0</v>
      </c>
      <c r="G53" s="9">
        <f>IF(MOD(SK[[#This Row],[GEREKLİ ADET]],2)=0,SK[[#This Row],[GEREKLİ ADET]],0)</f>
        <v>0</v>
      </c>
      <c r="H53" s="9">
        <f>SK[[#This Row],[SONDAN KALAN FİRE]]</f>
        <v>0</v>
      </c>
    </row>
    <row r="54" spans="1:8" x14ac:dyDescent="0.3">
      <c r="A54" s="12">
        <f>SK[[#This Row],[TARİH]]</f>
        <v>0</v>
      </c>
      <c r="B54" s="9">
        <f>SK[[#This Row],[TÜR]]</f>
        <v>0</v>
      </c>
      <c r="C54" s="9">
        <f>SK[[#This Row],[MALZEME ]]</f>
        <v>0</v>
      </c>
      <c r="D54" s="9">
        <f>SK[[#This Row],[KALİTE]]</f>
        <v>0</v>
      </c>
      <c r="E54" s="11">
        <f>SK[[#This Row],[FİRE]]</f>
        <v>0</v>
      </c>
      <c r="F54" s="11">
        <f>SK[[#This Row],[EŞİT FİRE]]</f>
        <v>0</v>
      </c>
      <c r="G54" s="9">
        <f>IF(MOD(SK[[#This Row],[GEREKLİ ADET]],2)=0,SK[[#This Row],[GEREKLİ ADET]],0)</f>
        <v>0</v>
      </c>
      <c r="H54" s="9">
        <f>SK[[#This Row],[SONDAN KALAN FİRE]]</f>
        <v>0</v>
      </c>
    </row>
    <row r="55" spans="1:8" x14ac:dyDescent="0.3">
      <c r="A55" s="12">
        <f>SK[[#This Row],[TARİH]]</f>
        <v>0</v>
      </c>
      <c r="B55" s="9">
        <f>SK[[#This Row],[TÜR]]</f>
        <v>0</v>
      </c>
      <c r="C55" s="9">
        <f>SK[[#This Row],[MALZEME ]]</f>
        <v>0</v>
      </c>
      <c r="D55" s="9">
        <f>SK[[#This Row],[KALİTE]]</f>
        <v>0</v>
      </c>
      <c r="E55" s="11">
        <f>SK[[#This Row],[FİRE]]</f>
        <v>0</v>
      </c>
      <c r="F55" s="11">
        <f>SK[[#This Row],[EŞİT FİRE]]</f>
        <v>0</v>
      </c>
      <c r="G55" s="9">
        <f>IF(MOD(SK[[#This Row],[GEREKLİ ADET]],2)=0,SK[[#This Row],[GEREKLİ ADET]],0)</f>
        <v>0</v>
      </c>
      <c r="H55" s="9">
        <f>SK[[#This Row],[SONDAN KALAN FİRE]]</f>
        <v>0</v>
      </c>
    </row>
    <row r="56" spans="1:8" x14ac:dyDescent="0.3">
      <c r="A56" s="12">
        <f>SK[[#This Row],[TARİH]]</f>
        <v>0</v>
      </c>
      <c r="B56" s="9">
        <f>SK[[#This Row],[TÜR]]</f>
        <v>0</v>
      </c>
      <c r="C56" s="9">
        <f>SK[[#This Row],[MALZEME ]]</f>
        <v>0</v>
      </c>
      <c r="D56" s="9">
        <f>SK[[#This Row],[KALİTE]]</f>
        <v>0</v>
      </c>
      <c r="E56" s="11">
        <f>SK[[#This Row],[FİRE]]</f>
        <v>0</v>
      </c>
      <c r="F56" s="11">
        <f>SK[[#This Row],[EŞİT FİRE]]</f>
        <v>0</v>
      </c>
      <c r="G56" s="9">
        <f>IF(MOD(SK[[#This Row],[GEREKLİ ADET]],2)=0,SK[[#This Row],[GEREKLİ ADET]],0)</f>
        <v>0</v>
      </c>
      <c r="H56" s="9">
        <f>SK[[#This Row],[SONDAN KALAN FİRE]]</f>
        <v>0</v>
      </c>
    </row>
    <row r="57" spans="1:8" x14ac:dyDescent="0.3">
      <c r="A57" s="12">
        <f>SK[[#This Row],[TARİH]]</f>
        <v>0</v>
      </c>
      <c r="B57" s="9">
        <f>SK[[#This Row],[TÜR]]</f>
        <v>0</v>
      </c>
      <c r="C57" s="9">
        <f>SK[[#This Row],[MALZEME ]]</f>
        <v>0</v>
      </c>
      <c r="D57" s="9">
        <f>SK[[#This Row],[KALİTE]]</f>
        <v>0</v>
      </c>
      <c r="E57" s="11">
        <f>SK[[#This Row],[FİRE]]</f>
        <v>0</v>
      </c>
      <c r="F57" s="11">
        <f>SK[[#This Row],[EŞİT FİRE]]</f>
        <v>0</v>
      </c>
      <c r="G57" s="9">
        <f>IF(MOD(SK[[#This Row],[GEREKLİ ADET]],2)=0,SK[[#This Row],[GEREKLİ ADET]],0)</f>
        <v>0</v>
      </c>
      <c r="H57" s="9">
        <f>SK[[#This Row],[SONDAN KALAN FİRE]]</f>
        <v>0</v>
      </c>
    </row>
    <row r="58" spans="1:8" x14ac:dyDescent="0.3">
      <c r="A58" s="12">
        <f>SK[[#This Row],[TARİH]]</f>
        <v>0</v>
      </c>
      <c r="B58" s="9">
        <f>SK[[#This Row],[TÜR]]</f>
        <v>0</v>
      </c>
      <c r="C58" s="9">
        <f>SK[[#This Row],[MALZEME ]]</f>
        <v>0</v>
      </c>
      <c r="D58" s="9">
        <f>SK[[#This Row],[KALİTE]]</f>
        <v>0</v>
      </c>
      <c r="E58" s="11">
        <f>SK[[#This Row],[FİRE]]</f>
        <v>0</v>
      </c>
      <c r="F58" s="11">
        <f>SK[[#This Row],[EŞİT FİRE]]</f>
        <v>0</v>
      </c>
      <c r="G58" s="9">
        <f>IF(MOD(SK[[#This Row],[GEREKLİ ADET]],2)=0,SK[[#This Row],[GEREKLİ ADET]],0)</f>
        <v>0</v>
      </c>
      <c r="H58" s="9">
        <f>SK[[#This Row],[SONDAN KALAN FİRE]]</f>
        <v>0</v>
      </c>
    </row>
    <row r="59" spans="1:8" x14ac:dyDescent="0.3">
      <c r="A59" s="12">
        <f>SK[[#This Row],[TARİH]]</f>
        <v>0</v>
      </c>
      <c r="B59" s="9">
        <f>SK[[#This Row],[TÜR]]</f>
        <v>0</v>
      </c>
      <c r="C59" s="9">
        <f>SK[[#This Row],[MALZEME ]]</f>
        <v>0</v>
      </c>
      <c r="D59" s="9">
        <f>SK[[#This Row],[KALİTE]]</f>
        <v>0</v>
      </c>
      <c r="E59" s="11">
        <f>SK[[#This Row],[FİRE]]</f>
        <v>0</v>
      </c>
      <c r="F59" s="11">
        <f>SK[[#This Row],[EŞİT FİRE]]</f>
        <v>0</v>
      </c>
      <c r="G59" s="9">
        <f>IF(MOD(SK[[#This Row],[GEREKLİ ADET]],2)=0,SK[[#This Row],[GEREKLİ ADET]],0)</f>
        <v>0</v>
      </c>
      <c r="H59" s="9">
        <f>SK[[#This Row],[SONDAN KALAN FİRE]]</f>
        <v>0</v>
      </c>
    </row>
    <row r="60" spans="1:8" x14ac:dyDescent="0.3">
      <c r="A60" s="12">
        <f>SK[[#This Row],[TARİH]]</f>
        <v>0</v>
      </c>
      <c r="B60" s="9">
        <f>SK[[#This Row],[TÜR]]</f>
        <v>0</v>
      </c>
      <c r="C60" s="9">
        <f>SK[[#This Row],[MALZEME ]]</f>
        <v>0</v>
      </c>
      <c r="D60" s="9">
        <f>SK[[#This Row],[KALİTE]]</f>
        <v>0</v>
      </c>
      <c r="E60" s="11">
        <f>SK[[#This Row],[FİRE]]</f>
        <v>0</v>
      </c>
      <c r="F60" s="11">
        <f>SK[[#This Row],[EŞİT FİRE]]</f>
        <v>0</v>
      </c>
      <c r="G60" s="9">
        <f>IF(MOD(SK[[#This Row],[GEREKLİ ADET]],2)=0,SK[[#This Row],[GEREKLİ ADET]],0)</f>
        <v>0</v>
      </c>
      <c r="H60" s="9">
        <f>SK[[#This Row],[SONDAN KALAN FİRE]]</f>
        <v>0</v>
      </c>
    </row>
    <row r="61" spans="1:8" x14ac:dyDescent="0.3">
      <c r="A61" s="12">
        <f>SK[[#This Row],[TARİH]]</f>
        <v>0</v>
      </c>
      <c r="B61" s="9">
        <f>SK[[#This Row],[TÜR]]</f>
        <v>0</v>
      </c>
      <c r="C61" s="9">
        <f>SK[[#This Row],[MALZEME ]]</f>
        <v>0</v>
      </c>
      <c r="D61" s="9">
        <f>SK[[#This Row],[KALİTE]]</f>
        <v>0</v>
      </c>
      <c r="E61" s="11">
        <f>SK[[#This Row],[FİRE]]</f>
        <v>0</v>
      </c>
      <c r="F61" s="11">
        <f>SK[[#This Row],[EŞİT FİRE]]</f>
        <v>0</v>
      </c>
      <c r="G61" s="9">
        <f>IF(MOD(SK[[#This Row],[GEREKLİ ADET]],2)=0,SK[[#This Row],[GEREKLİ ADET]],0)</f>
        <v>0</v>
      </c>
      <c r="H61" s="9">
        <f>SK[[#This Row],[SONDAN KALAN FİRE]]</f>
        <v>0</v>
      </c>
    </row>
    <row r="62" spans="1:8" x14ac:dyDescent="0.3">
      <c r="A62" s="12">
        <f>SK[[#This Row],[TARİH]]</f>
        <v>0</v>
      </c>
      <c r="B62" s="9">
        <f>SK[[#This Row],[TÜR]]</f>
        <v>0</v>
      </c>
      <c r="C62" s="9">
        <f>SK[[#This Row],[MALZEME ]]</f>
        <v>0</v>
      </c>
      <c r="D62" s="9">
        <f>SK[[#This Row],[KALİTE]]</f>
        <v>0</v>
      </c>
      <c r="E62" s="11">
        <f>SK[[#This Row],[FİRE]]</f>
        <v>0</v>
      </c>
      <c r="F62" s="11">
        <f>SK[[#This Row],[EŞİT FİRE]]</f>
        <v>0</v>
      </c>
      <c r="G62" s="9">
        <f>IF(MOD(SK[[#This Row],[GEREKLİ ADET]],2)=0,SK[[#This Row],[GEREKLİ ADET]],0)</f>
        <v>0</v>
      </c>
      <c r="H62" s="9">
        <f>SK[[#This Row],[SONDAN KALAN FİRE]]</f>
        <v>0</v>
      </c>
    </row>
    <row r="63" spans="1:8" x14ac:dyDescent="0.3">
      <c r="A63" s="12">
        <f>SK[[#This Row],[TARİH]]</f>
        <v>0</v>
      </c>
      <c r="B63" s="9">
        <f>SK[[#This Row],[TÜR]]</f>
        <v>0</v>
      </c>
      <c r="C63" s="9">
        <f>SK[[#This Row],[MALZEME ]]</f>
        <v>0</v>
      </c>
      <c r="D63" s="9">
        <f>SK[[#This Row],[KALİTE]]</f>
        <v>0</v>
      </c>
      <c r="E63" s="11">
        <f>SK[[#This Row],[FİRE]]</f>
        <v>0</v>
      </c>
      <c r="F63" s="11">
        <f>SK[[#This Row],[EŞİT FİRE]]</f>
        <v>0</v>
      </c>
      <c r="G63" s="9">
        <f>IF(MOD(SK[[#This Row],[GEREKLİ ADET]],2)=0,SK[[#This Row],[GEREKLİ ADET]],0)</f>
        <v>0</v>
      </c>
      <c r="H63" s="9">
        <f>SK[[#This Row],[SONDAN KALAN FİRE]]</f>
        <v>0</v>
      </c>
    </row>
    <row r="64" spans="1:8" x14ac:dyDescent="0.3">
      <c r="A64" s="12">
        <f>SK[[#This Row],[TARİH]]</f>
        <v>0</v>
      </c>
      <c r="B64" s="9">
        <f>SK[[#This Row],[TÜR]]</f>
        <v>0</v>
      </c>
      <c r="C64" s="9">
        <f>SK[[#This Row],[MALZEME ]]</f>
        <v>0</v>
      </c>
      <c r="D64" s="9">
        <f>SK[[#This Row],[KALİTE]]</f>
        <v>0</v>
      </c>
      <c r="E64" s="11">
        <f>SK[[#This Row],[FİRE]]</f>
        <v>0</v>
      </c>
      <c r="F64" s="11">
        <f>SK[[#This Row],[EŞİT FİRE]]</f>
        <v>0</v>
      </c>
      <c r="G64" s="9">
        <f>IF(MOD(SK[[#This Row],[GEREKLİ ADET]],2)=0,SK[[#This Row],[GEREKLİ ADET]],0)</f>
        <v>0</v>
      </c>
      <c r="H64" s="9">
        <f>SK[[#This Row],[SONDAN KALAN FİRE]]</f>
        <v>0</v>
      </c>
    </row>
    <row r="65" spans="1:8" x14ac:dyDescent="0.3">
      <c r="A65" s="12">
        <f>SK[[#This Row],[TARİH]]</f>
        <v>0</v>
      </c>
      <c r="B65" s="9">
        <f>SK[[#This Row],[TÜR]]</f>
        <v>0</v>
      </c>
      <c r="C65" s="9">
        <f>SK[[#This Row],[MALZEME ]]</f>
        <v>0</v>
      </c>
      <c r="D65" s="9">
        <f>SK[[#This Row],[KALİTE]]</f>
        <v>0</v>
      </c>
      <c r="E65" s="11">
        <f>SK[[#This Row],[FİRE]]</f>
        <v>0</v>
      </c>
      <c r="F65" s="11">
        <f>SK[[#This Row],[EŞİT FİRE]]</f>
        <v>0</v>
      </c>
      <c r="G65" s="9">
        <f>IF(MOD(SK[[#This Row],[GEREKLİ ADET]],2)=0,SK[[#This Row],[GEREKLİ ADET]],0)</f>
        <v>0</v>
      </c>
      <c r="H65" s="9">
        <f>SK[[#This Row],[SONDAN KALAN FİRE]]</f>
        <v>0</v>
      </c>
    </row>
    <row r="66" spans="1:8" x14ac:dyDescent="0.3">
      <c r="A66" s="12">
        <f>SK[[#This Row],[TARİH]]</f>
        <v>0</v>
      </c>
      <c r="B66" s="9">
        <f>SK[[#This Row],[TÜR]]</f>
        <v>0</v>
      </c>
      <c r="C66" s="9">
        <f>SK[[#This Row],[MALZEME ]]</f>
        <v>0</v>
      </c>
      <c r="D66" s="9">
        <f>SK[[#This Row],[KALİTE]]</f>
        <v>0</v>
      </c>
      <c r="E66" s="11">
        <f>SK[[#This Row],[FİRE]]</f>
        <v>0</v>
      </c>
      <c r="F66" s="11">
        <f>SK[[#This Row],[EŞİT FİRE]]</f>
        <v>0</v>
      </c>
      <c r="G66" s="9">
        <f>IF(MOD(SK[[#This Row],[GEREKLİ ADET]],2)=0,SK[[#This Row],[GEREKLİ ADET]],0)</f>
        <v>0</v>
      </c>
      <c r="H66" s="9">
        <f>SK[[#This Row],[SONDAN KALAN FİRE]]</f>
        <v>0</v>
      </c>
    </row>
    <row r="67" spans="1:8" x14ac:dyDescent="0.3">
      <c r="A67" s="12">
        <f>SK[[#This Row],[TARİH]]</f>
        <v>0</v>
      </c>
      <c r="B67" s="9">
        <f>SK[[#This Row],[TÜR]]</f>
        <v>0</v>
      </c>
      <c r="C67" s="9">
        <f>SK[[#This Row],[MALZEME ]]</f>
        <v>0</v>
      </c>
      <c r="D67" s="9">
        <f>SK[[#This Row],[KALİTE]]</f>
        <v>0</v>
      </c>
      <c r="E67" s="11">
        <f>SK[[#This Row],[FİRE]]</f>
        <v>0</v>
      </c>
      <c r="F67" s="11">
        <f>SK[[#This Row],[EŞİT FİRE]]</f>
        <v>0</v>
      </c>
      <c r="G67" s="9">
        <f>IF(MOD(SK[[#This Row],[GEREKLİ ADET]],2)=0,SK[[#This Row],[GEREKLİ ADET]],0)</f>
        <v>0</v>
      </c>
      <c r="H67" s="9">
        <f>SK[[#This Row],[SONDAN KALAN FİRE]]</f>
        <v>0</v>
      </c>
    </row>
    <row r="68" spans="1:8" x14ac:dyDescent="0.3">
      <c r="A68" s="12">
        <f>SK[[#This Row],[TARİH]]</f>
        <v>0</v>
      </c>
      <c r="B68" s="9">
        <f>SK[[#This Row],[TÜR]]</f>
        <v>0</v>
      </c>
      <c r="C68" s="9">
        <f>SK[[#This Row],[MALZEME ]]</f>
        <v>0</v>
      </c>
      <c r="D68" s="9">
        <f>SK[[#This Row],[KALİTE]]</f>
        <v>0</v>
      </c>
      <c r="E68" s="11">
        <f>SK[[#This Row],[FİRE]]</f>
        <v>0</v>
      </c>
      <c r="F68" s="11">
        <f>SK[[#This Row],[EŞİT FİRE]]</f>
        <v>0</v>
      </c>
      <c r="G68" s="9">
        <f>IF(MOD(SK[[#This Row],[GEREKLİ ADET]],2)=0,SK[[#This Row],[GEREKLİ ADET]],0)</f>
        <v>0</v>
      </c>
      <c r="H68" s="9">
        <f>SK[[#This Row],[SONDAN KALAN FİRE]]</f>
        <v>0</v>
      </c>
    </row>
    <row r="69" spans="1:8" x14ac:dyDescent="0.3">
      <c r="A69" s="12">
        <f>SK[[#This Row],[TARİH]]</f>
        <v>0</v>
      </c>
      <c r="B69" s="9">
        <f>SK[[#This Row],[TÜR]]</f>
        <v>0</v>
      </c>
      <c r="C69" s="9">
        <f>SK[[#This Row],[MALZEME ]]</f>
        <v>0</v>
      </c>
      <c r="D69" s="9">
        <f>SK[[#This Row],[KALİTE]]</f>
        <v>0</v>
      </c>
      <c r="E69" s="11">
        <f>SK[[#This Row],[FİRE]]</f>
        <v>0</v>
      </c>
      <c r="F69" s="11">
        <f>SK[[#This Row],[EŞİT FİRE]]</f>
        <v>0</v>
      </c>
      <c r="G69" s="9">
        <f>IF(MOD(SK[[#This Row],[GEREKLİ ADET]],2)=0,SK[[#This Row],[GEREKLİ ADET]],0)</f>
        <v>0</v>
      </c>
      <c r="H69" s="9">
        <f>SK[[#This Row],[SONDAN KALAN FİRE]]</f>
        <v>0</v>
      </c>
    </row>
    <row r="70" spans="1:8" x14ac:dyDescent="0.3">
      <c r="A70" s="12">
        <f>SK[[#This Row],[TARİH]]</f>
        <v>0</v>
      </c>
      <c r="B70" s="9">
        <f>SK[[#This Row],[TÜR]]</f>
        <v>0</v>
      </c>
      <c r="C70" s="9">
        <f>SK[[#This Row],[MALZEME ]]</f>
        <v>0</v>
      </c>
      <c r="D70" s="9">
        <f>SK[[#This Row],[KALİTE]]</f>
        <v>0</v>
      </c>
      <c r="E70" s="11">
        <f>SK[[#This Row],[FİRE]]</f>
        <v>0</v>
      </c>
      <c r="F70" s="11">
        <f>SK[[#This Row],[EŞİT FİRE]]</f>
        <v>0</v>
      </c>
      <c r="G70" s="9">
        <f>IF(MOD(SK[[#This Row],[GEREKLİ ADET]],2)=0,SK[[#This Row],[GEREKLİ ADET]],0)</f>
        <v>0</v>
      </c>
      <c r="H70" s="9">
        <f>SK[[#This Row],[SONDAN KALAN FİRE]]</f>
        <v>0</v>
      </c>
    </row>
    <row r="71" spans="1:8" x14ac:dyDescent="0.3">
      <c r="A71" s="12">
        <f>SK[[#This Row],[TARİH]]</f>
        <v>0</v>
      </c>
      <c r="B71" s="9">
        <f>SK[[#This Row],[TÜR]]</f>
        <v>0</v>
      </c>
      <c r="C71" s="9">
        <f>SK[[#This Row],[MALZEME ]]</f>
        <v>0</v>
      </c>
      <c r="D71" s="9">
        <f>SK[[#This Row],[KALİTE]]</f>
        <v>0</v>
      </c>
      <c r="E71" s="11">
        <f>SK[[#This Row],[FİRE]]</f>
        <v>0</v>
      </c>
      <c r="F71" s="11">
        <f>SK[[#This Row],[EŞİT FİRE]]</f>
        <v>0</v>
      </c>
      <c r="G71" s="9">
        <f>IF(MOD(SK[[#This Row],[GEREKLİ ADET]],2)=0,SK[[#This Row],[GEREKLİ ADET]],0)</f>
        <v>0</v>
      </c>
      <c r="H71" s="9">
        <f>SK[[#This Row],[SONDAN KALAN FİRE]]</f>
        <v>0</v>
      </c>
    </row>
    <row r="72" spans="1:8" x14ac:dyDescent="0.3">
      <c r="A72" s="12">
        <f>SK[[#This Row],[TARİH]]</f>
        <v>0</v>
      </c>
      <c r="B72" s="9">
        <f>SK[[#This Row],[TÜR]]</f>
        <v>0</v>
      </c>
      <c r="C72" s="9">
        <f>SK[[#This Row],[MALZEME ]]</f>
        <v>0</v>
      </c>
      <c r="D72" s="9">
        <f>SK[[#This Row],[KALİTE]]</f>
        <v>0</v>
      </c>
      <c r="E72" s="11">
        <f>SK[[#This Row],[FİRE]]</f>
        <v>0</v>
      </c>
      <c r="F72" s="11">
        <f>SK[[#This Row],[EŞİT FİRE]]</f>
        <v>0</v>
      </c>
      <c r="G72" s="9">
        <f>IF(MOD(SK[[#This Row],[GEREKLİ ADET]],2)=0,SK[[#This Row],[GEREKLİ ADET]],0)</f>
        <v>0</v>
      </c>
      <c r="H72" s="9">
        <f>SK[[#This Row],[SONDAN KALAN FİRE]]</f>
        <v>0</v>
      </c>
    </row>
    <row r="73" spans="1:8" x14ac:dyDescent="0.3">
      <c r="A73" s="12">
        <f>SK[[#This Row],[TARİH]]</f>
        <v>0</v>
      </c>
      <c r="B73" s="9">
        <f>SK[[#This Row],[TÜR]]</f>
        <v>0</v>
      </c>
      <c r="C73" s="9">
        <f>SK[[#This Row],[MALZEME ]]</f>
        <v>0</v>
      </c>
      <c r="D73" s="9">
        <f>SK[[#This Row],[KALİTE]]</f>
        <v>0</v>
      </c>
      <c r="E73" s="11">
        <f>SK[[#This Row],[FİRE]]</f>
        <v>0</v>
      </c>
      <c r="F73" s="11">
        <f>SK[[#This Row],[EŞİT FİRE]]</f>
        <v>0</v>
      </c>
      <c r="G73" s="9">
        <f>IF(MOD(SK[[#This Row],[GEREKLİ ADET]],2)=0,SK[[#This Row],[GEREKLİ ADET]],0)</f>
        <v>0</v>
      </c>
      <c r="H73" s="9">
        <f>SK[[#This Row],[SONDAN KALAN FİRE]]</f>
        <v>0</v>
      </c>
    </row>
    <row r="74" spans="1:8" x14ac:dyDescent="0.3">
      <c r="A74" s="12">
        <f>SK[[#This Row],[TARİH]]</f>
        <v>0</v>
      </c>
      <c r="B74" s="9">
        <f>SK[[#This Row],[TÜR]]</f>
        <v>0</v>
      </c>
      <c r="C74" s="9">
        <f>SK[[#This Row],[MALZEME ]]</f>
        <v>0</v>
      </c>
      <c r="D74" s="9">
        <f>SK[[#This Row],[KALİTE]]</f>
        <v>0</v>
      </c>
      <c r="E74" s="11">
        <f>SK[[#This Row],[FİRE]]</f>
        <v>0</v>
      </c>
      <c r="F74" s="11">
        <f>SK[[#This Row],[EŞİT FİRE]]</f>
        <v>0</v>
      </c>
      <c r="G74" s="9">
        <f>IF(MOD(SK[[#This Row],[GEREKLİ ADET]],2)=0,SK[[#This Row],[GEREKLİ ADET]],0)</f>
        <v>0</v>
      </c>
      <c r="H74" s="9">
        <f>SK[[#This Row],[SONDAN KALAN FİRE]]</f>
        <v>0</v>
      </c>
    </row>
    <row r="75" spans="1:8" x14ac:dyDescent="0.3">
      <c r="A75" s="12">
        <f>SK[[#This Row],[TARİH]]</f>
        <v>0</v>
      </c>
      <c r="B75" s="9">
        <f>SK[[#This Row],[TÜR]]</f>
        <v>0</v>
      </c>
      <c r="C75" s="9">
        <f>SK[[#This Row],[MALZEME ]]</f>
        <v>0</v>
      </c>
      <c r="D75" s="9">
        <f>SK[[#This Row],[KALİTE]]</f>
        <v>0</v>
      </c>
      <c r="E75" s="11">
        <f>SK[[#This Row],[FİRE]]</f>
        <v>0</v>
      </c>
      <c r="F75" s="11">
        <f>SK[[#This Row],[EŞİT FİRE]]</f>
        <v>0</v>
      </c>
      <c r="G75" s="9">
        <f>IF(MOD(SK[[#This Row],[GEREKLİ ADET]],2)=0,SK[[#This Row],[GEREKLİ ADET]],0)</f>
        <v>0</v>
      </c>
      <c r="H75" s="9">
        <f>SK[[#This Row],[SONDAN KALAN FİRE]]</f>
        <v>0</v>
      </c>
    </row>
    <row r="76" spans="1:8" x14ac:dyDescent="0.3">
      <c r="A76" s="12">
        <f>SK[[#This Row],[TARİH]]</f>
        <v>0</v>
      </c>
      <c r="B76" s="9">
        <f>SK[[#This Row],[TÜR]]</f>
        <v>0</v>
      </c>
      <c r="C76" s="9">
        <f>SK[[#This Row],[MALZEME ]]</f>
        <v>0</v>
      </c>
      <c r="D76" s="9">
        <f>SK[[#This Row],[KALİTE]]</f>
        <v>0</v>
      </c>
      <c r="E76" s="11">
        <f>SK[[#This Row],[FİRE]]</f>
        <v>0</v>
      </c>
      <c r="F76" s="11">
        <f>SK[[#This Row],[EŞİT FİRE]]</f>
        <v>0</v>
      </c>
      <c r="G76" s="9">
        <f>IF(MOD(SK[[#This Row],[GEREKLİ ADET]],2)=0,SK[[#This Row],[GEREKLİ ADET]],0)</f>
        <v>0</v>
      </c>
      <c r="H76" s="9">
        <f>SK[[#This Row],[SONDAN KALAN FİRE]]</f>
        <v>0</v>
      </c>
    </row>
    <row r="77" spans="1:8" x14ac:dyDescent="0.3">
      <c r="A77" s="12">
        <f>SK[[#This Row],[TARİH]]</f>
        <v>0</v>
      </c>
      <c r="B77" s="9">
        <f>SK[[#This Row],[TÜR]]</f>
        <v>0</v>
      </c>
      <c r="C77" s="9">
        <f>SK[[#This Row],[MALZEME ]]</f>
        <v>0</v>
      </c>
      <c r="D77" s="9">
        <f>SK[[#This Row],[KALİTE]]</f>
        <v>0</v>
      </c>
      <c r="E77" s="11">
        <f>SK[[#This Row],[FİRE]]</f>
        <v>0</v>
      </c>
      <c r="F77" s="11">
        <f>SK[[#This Row],[EŞİT FİRE]]</f>
        <v>0</v>
      </c>
      <c r="G77" s="9">
        <f>IF(MOD(SK[[#This Row],[GEREKLİ ADET]],2)=0,SK[[#This Row],[GEREKLİ ADET]],0)</f>
        <v>0</v>
      </c>
      <c r="H77" s="9">
        <f>SK[[#This Row],[SONDAN KALAN FİRE]]</f>
        <v>0</v>
      </c>
    </row>
    <row r="78" spans="1:8" x14ac:dyDescent="0.3">
      <c r="A78" s="12">
        <f>SK[[#This Row],[TARİH]]</f>
        <v>0</v>
      </c>
      <c r="B78" s="9">
        <f>SK[[#This Row],[TÜR]]</f>
        <v>0</v>
      </c>
      <c r="C78" s="9">
        <f>SK[[#This Row],[MALZEME ]]</f>
        <v>0</v>
      </c>
      <c r="D78" s="9">
        <f>SK[[#This Row],[KALİTE]]</f>
        <v>0</v>
      </c>
      <c r="E78" s="11">
        <f>SK[[#This Row],[FİRE]]</f>
        <v>0</v>
      </c>
      <c r="F78" s="11">
        <f>SK[[#This Row],[EŞİT FİRE]]</f>
        <v>0</v>
      </c>
      <c r="G78" s="9">
        <f>IF(MOD(SK[[#This Row],[GEREKLİ ADET]],2)=0,SK[[#This Row],[GEREKLİ ADET]],0)</f>
        <v>0</v>
      </c>
      <c r="H78" s="9">
        <f>SK[[#This Row],[SONDAN KALAN FİRE]]</f>
        <v>0</v>
      </c>
    </row>
    <row r="79" spans="1:8" x14ac:dyDescent="0.3">
      <c r="A79" s="12">
        <f>SK[[#This Row],[TARİH]]</f>
        <v>0</v>
      </c>
      <c r="B79" s="9">
        <f>SK[[#This Row],[TÜR]]</f>
        <v>0</v>
      </c>
      <c r="C79" s="9">
        <f>SK[[#This Row],[MALZEME ]]</f>
        <v>0</v>
      </c>
      <c r="D79" s="9">
        <f>SK[[#This Row],[KALİTE]]</f>
        <v>0</v>
      </c>
      <c r="E79" s="11">
        <f>SK[[#This Row],[FİRE]]</f>
        <v>0</v>
      </c>
      <c r="F79" s="11">
        <f>SK[[#This Row],[EŞİT FİRE]]</f>
        <v>0</v>
      </c>
      <c r="G79" s="9">
        <f>IF(MOD(SK[[#This Row],[GEREKLİ ADET]],2)=0,SK[[#This Row],[GEREKLİ ADET]],0)</f>
        <v>0</v>
      </c>
      <c r="H79" s="9">
        <f>SK[[#This Row],[SONDAN KALAN FİRE]]</f>
        <v>0</v>
      </c>
    </row>
    <row r="80" spans="1:8" x14ac:dyDescent="0.3">
      <c r="A80" s="12">
        <f>SK[[#This Row],[TARİH]]</f>
        <v>0</v>
      </c>
      <c r="B80" s="9">
        <f>SK[[#This Row],[TÜR]]</f>
        <v>0</v>
      </c>
      <c r="C80" s="9">
        <f>SK[[#This Row],[MALZEME ]]</f>
        <v>0</v>
      </c>
      <c r="D80" s="9">
        <f>SK[[#This Row],[KALİTE]]</f>
        <v>0</v>
      </c>
      <c r="E80" s="11">
        <f>SK[[#This Row],[FİRE]]</f>
        <v>0</v>
      </c>
      <c r="F80" s="11">
        <f>SK[[#This Row],[EŞİT FİRE]]</f>
        <v>0</v>
      </c>
      <c r="G80" s="9">
        <f>IF(MOD(SK[[#This Row],[GEREKLİ ADET]],2)=0,SK[[#This Row],[GEREKLİ ADET]],0)</f>
        <v>0</v>
      </c>
      <c r="H80" s="9">
        <f>SK[[#This Row],[SONDAN KALAN FİRE]]</f>
        <v>0</v>
      </c>
    </row>
    <row r="81" spans="1:8" x14ac:dyDescent="0.3">
      <c r="A81" s="12">
        <f>SK[[#This Row],[TARİH]]</f>
        <v>0</v>
      </c>
      <c r="B81" s="9">
        <f>SK[[#This Row],[TÜR]]</f>
        <v>0</v>
      </c>
      <c r="C81" s="9">
        <f>SK[[#This Row],[MALZEME ]]</f>
        <v>0</v>
      </c>
      <c r="D81" s="9">
        <f>SK[[#This Row],[KALİTE]]</f>
        <v>0</v>
      </c>
      <c r="E81" s="11">
        <f>SK[[#This Row],[FİRE]]</f>
        <v>0</v>
      </c>
      <c r="F81" s="11">
        <f>SK[[#This Row],[EŞİT FİRE]]</f>
        <v>0</v>
      </c>
      <c r="G81" s="9">
        <f>IF(MOD(SK[[#This Row],[GEREKLİ ADET]],2)=0,SK[[#This Row],[GEREKLİ ADET]],0)</f>
        <v>0</v>
      </c>
      <c r="H81" s="9">
        <f>SK[[#This Row],[SONDAN KALAN FİRE]]</f>
        <v>0</v>
      </c>
    </row>
    <row r="82" spans="1:8" x14ac:dyDescent="0.3">
      <c r="A82" s="12">
        <f>SK[[#This Row],[TARİH]]</f>
        <v>0</v>
      </c>
      <c r="B82" s="9">
        <f>SK[[#This Row],[TÜR]]</f>
        <v>0</v>
      </c>
      <c r="C82" s="9">
        <f>SK[[#This Row],[MALZEME ]]</f>
        <v>0</v>
      </c>
      <c r="D82" s="9">
        <f>SK[[#This Row],[KALİTE]]</f>
        <v>0</v>
      </c>
      <c r="E82" s="11">
        <f>SK[[#This Row],[FİRE]]</f>
        <v>0</v>
      </c>
      <c r="F82" s="11">
        <f>SK[[#This Row],[EŞİT FİRE]]</f>
        <v>0</v>
      </c>
      <c r="G82" s="9">
        <f>IF(MOD(SK[[#This Row],[GEREKLİ ADET]],2)=0,SK[[#This Row],[GEREKLİ ADET]],0)</f>
        <v>0</v>
      </c>
      <c r="H82" s="9">
        <f>SK[[#This Row],[SONDAN KALAN FİRE]]</f>
        <v>0</v>
      </c>
    </row>
    <row r="83" spans="1:8" x14ac:dyDescent="0.3">
      <c r="A83" s="12">
        <f>SK[[#This Row],[TARİH]]</f>
        <v>0</v>
      </c>
      <c r="B83" s="9">
        <f>SK[[#This Row],[TÜR]]</f>
        <v>0</v>
      </c>
      <c r="C83" s="9">
        <f>SK[[#This Row],[MALZEME ]]</f>
        <v>0</v>
      </c>
      <c r="D83" s="9">
        <f>SK[[#This Row],[KALİTE]]</f>
        <v>0</v>
      </c>
      <c r="E83" s="11">
        <f>SK[[#This Row],[FİRE]]</f>
        <v>0</v>
      </c>
      <c r="F83" s="11">
        <f>SK[[#This Row],[EŞİT FİRE]]</f>
        <v>0</v>
      </c>
      <c r="G83" s="9">
        <f>IF(MOD(SK[[#This Row],[GEREKLİ ADET]],2)=0,SK[[#This Row],[GEREKLİ ADET]],0)</f>
        <v>0</v>
      </c>
      <c r="H83" s="9">
        <f>SK[[#This Row],[SONDAN KALAN FİRE]]</f>
        <v>0</v>
      </c>
    </row>
    <row r="84" spans="1:8" x14ac:dyDescent="0.3">
      <c r="A84" s="12">
        <f>SK[[#This Row],[TARİH]]</f>
        <v>0</v>
      </c>
      <c r="B84" s="9">
        <f>SK[[#This Row],[TÜR]]</f>
        <v>0</v>
      </c>
      <c r="C84" s="9">
        <f>SK[[#This Row],[MALZEME ]]</f>
        <v>0</v>
      </c>
      <c r="D84" s="9">
        <f>SK[[#This Row],[KALİTE]]</f>
        <v>0</v>
      </c>
      <c r="E84" s="11">
        <f>SK[[#This Row],[FİRE]]</f>
        <v>0</v>
      </c>
      <c r="F84" s="11">
        <f>SK[[#This Row],[EŞİT FİRE]]</f>
        <v>0</v>
      </c>
      <c r="G84" s="9">
        <f>IF(MOD(SK[[#This Row],[GEREKLİ ADET]],2)=0,SK[[#This Row],[GEREKLİ ADET]],0)</f>
        <v>0</v>
      </c>
      <c r="H84" s="9">
        <f>SK[[#This Row],[SONDAN KALAN FİRE]]</f>
        <v>0</v>
      </c>
    </row>
    <row r="85" spans="1:8" x14ac:dyDescent="0.3">
      <c r="A85" s="12">
        <f>SK[[#This Row],[TARİH]]</f>
        <v>0</v>
      </c>
      <c r="B85" s="9">
        <f>SK[[#This Row],[TÜR]]</f>
        <v>0</v>
      </c>
      <c r="C85" s="9">
        <f>SK[[#This Row],[MALZEME ]]</f>
        <v>0</v>
      </c>
      <c r="D85" s="9">
        <f>SK[[#This Row],[KALİTE]]</f>
        <v>0</v>
      </c>
      <c r="E85" s="11">
        <f>SK[[#This Row],[FİRE]]</f>
        <v>0</v>
      </c>
      <c r="F85" s="11">
        <f>SK[[#This Row],[EŞİT FİRE]]</f>
        <v>0</v>
      </c>
      <c r="G85" s="9">
        <f>IF(MOD(SK[[#This Row],[GEREKLİ ADET]],2)=0,SK[[#This Row],[GEREKLİ ADET]],0)</f>
        <v>0</v>
      </c>
      <c r="H85" s="9">
        <f>SK[[#This Row],[SONDAN KALAN FİRE]]</f>
        <v>0</v>
      </c>
    </row>
    <row r="86" spans="1:8" x14ac:dyDescent="0.3">
      <c r="A86" s="12">
        <f>SK[[#This Row],[TARİH]]</f>
        <v>0</v>
      </c>
      <c r="B86" s="9">
        <f>SK[[#This Row],[TÜR]]</f>
        <v>0</v>
      </c>
      <c r="C86" s="9">
        <f>SK[[#This Row],[MALZEME ]]</f>
        <v>0</v>
      </c>
      <c r="D86" s="9">
        <f>SK[[#This Row],[KALİTE]]</f>
        <v>0</v>
      </c>
      <c r="E86" s="11">
        <f>SK[[#This Row],[FİRE]]</f>
        <v>0</v>
      </c>
      <c r="F86" s="11">
        <f>SK[[#This Row],[EŞİT FİRE]]</f>
        <v>0</v>
      </c>
      <c r="G86" s="9">
        <f>IF(MOD(SK[[#This Row],[GEREKLİ ADET]],2)=0,SK[[#This Row],[GEREKLİ ADET]],0)</f>
        <v>0</v>
      </c>
      <c r="H86" s="9">
        <f>SK[[#This Row],[SONDAN KALAN FİRE]]</f>
        <v>0</v>
      </c>
    </row>
    <row r="87" spans="1:8" x14ac:dyDescent="0.3">
      <c r="A87" s="12">
        <f>SK[[#This Row],[TARİH]]</f>
        <v>0</v>
      </c>
      <c r="B87" s="9">
        <f>SK[[#This Row],[TÜR]]</f>
        <v>0</v>
      </c>
      <c r="C87" s="9">
        <f>SK[[#This Row],[MALZEME ]]</f>
        <v>0</v>
      </c>
      <c r="D87" s="9">
        <f>SK[[#This Row],[KALİTE]]</f>
        <v>0</v>
      </c>
      <c r="E87" s="11">
        <f>SK[[#This Row],[FİRE]]</f>
        <v>0</v>
      </c>
      <c r="F87" s="11">
        <f>SK[[#This Row],[EŞİT FİRE]]</f>
        <v>0</v>
      </c>
      <c r="G87" s="9">
        <f>IF(MOD(SK[[#This Row],[GEREKLİ ADET]],2)=0,SK[[#This Row],[GEREKLİ ADET]],0)</f>
        <v>0</v>
      </c>
      <c r="H87" s="9">
        <f>SK[[#This Row],[SONDAN KALAN FİRE]]</f>
        <v>0</v>
      </c>
    </row>
    <row r="88" spans="1:8" x14ac:dyDescent="0.3">
      <c r="A88" s="12">
        <f>SK[[#This Row],[TARİH]]</f>
        <v>0</v>
      </c>
      <c r="B88" s="9">
        <f>SK[[#This Row],[TÜR]]</f>
        <v>0</v>
      </c>
      <c r="C88" s="9">
        <f>SK[[#This Row],[MALZEME ]]</f>
        <v>0</v>
      </c>
      <c r="D88" s="9">
        <f>SK[[#This Row],[KALİTE]]</f>
        <v>0</v>
      </c>
      <c r="E88" s="11">
        <f>SK[[#This Row],[FİRE]]</f>
        <v>0</v>
      </c>
      <c r="F88" s="11">
        <f>SK[[#This Row],[EŞİT FİRE]]</f>
        <v>0</v>
      </c>
      <c r="G88" s="9">
        <f>IF(MOD(SK[[#This Row],[GEREKLİ ADET]],2)=0,SK[[#This Row],[GEREKLİ ADET]],0)</f>
        <v>0</v>
      </c>
      <c r="H88" s="9">
        <f>SK[[#This Row],[SONDAN KALAN FİRE]]</f>
        <v>0</v>
      </c>
    </row>
    <row r="89" spans="1:8" x14ac:dyDescent="0.3">
      <c r="A89" s="12">
        <f>SK[[#This Row],[TARİH]]</f>
        <v>0</v>
      </c>
      <c r="B89" s="9">
        <f>SK[[#This Row],[TÜR]]</f>
        <v>0</v>
      </c>
      <c r="C89" s="9">
        <f>SK[[#This Row],[MALZEME ]]</f>
        <v>0</v>
      </c>
      <c r="D89" s="9">
        <f>SK[[#This Row],[KALİTE]]</f>
        <v>0</v>
      </c>
      <c r="E89" s="11">
        <f>SK[[#This Row],[FİRE]]</f>
        <v>0</v>
      </c>
      <c r="F89" s="11">
        <f>SK[[#This Row],[EŞİT FİRE]]</f>
        <v>0</v>
      </c>
      <c r="G89" s="9">
        <f>IF(MOD(SK[[#This Row],[GEREKLİ ADET]],2)=0,SK[[#This Row],[GEREKLİ ADET]],0)</f>
        <v>0</v>
      </c>
      <c r="H89" s="9">
        <f>SK[[#This Row],[SONDAN KALAN FİRE]]</f>
        <v>0</v>
      </c>
    </row>
    <row r="90" spans="1:8" x14ac:dyDescent="0.3">
      <c r="A90" s="12">
        <f>SK[[#This Row],[TARİH]]</f>
        <v>0</v>
      </c>
      <c r="B90" s="9">
        <f>SK[[#This Row],[TÜR]]</f>
        <v>0</v>
      </c>
      <c r="C90" s="9">
        <f>SK[[#This Row],[MALZEME ]]</f>
        <v>0</v>
      </c>
      <c r="D90" s="9">
        <f>SK[[#This Row],[KALİTE]]</f>
        <v>0</v>
      </c>
      <c r="E90" s="11">
        <f>SK[[#This Row],[FİRE]]</f>
        <v>0</v>
      </c>
      <c r="F90" s="11">
        <f>SK[[#This Row],[EŞİT FİRE]]</f>
        <v>0</v>
      </c>
      <c r="G90" s="9">
        <f>IF(MOD(SK[[#This Row],[GEREKLİ ADET]],2)=0,SK[[#This Row],[GEREKLİ ADET]],0)</f>
        <v>0</v>
      </c>
      <c r="H90" s="9">
        <f>SK[[#This Row],[SONDAN KALAN FİRE]]</f>
        <v>0</v>
      </c>
    </row>
    <row r="91" spans="1:8" x14ac:dyDescent="0.3">
      <c r="A91" s="12">
        <f>SK[[#This Row],[TARİH]]</f>
        <v>0</v>
      </c>
      <c r="B91" s="9">
        <f>SK[[#This Row],[TÜR]]</f>
        <v>0</v>
      </c>
      <c r="C91" s="9">
        <f>SK[[#This Row],[MALZEME ]]</f>
        <v>0</v>
      </c>
      <c r="D91" s="9">
        <f>SK[[#This Row],[KALİTE]]</f>
        <v>0</v>
      </c>
      <c r="E91" s="11">
        <f>SK[[#This Row],[FİRE]]</f>
        <v>0</v>
      </c>
      <c r="F91" s="11">
        <f>SK[[#This Row],[EŞİT FİRE]]</f>
        <v>0</v>
      </c>
      <c r="G91" s="9">
        <f>IF(MOD(SK[[#This Row],[GEREKLİ ADET]],2)=0,SK[[#This Row],[GEREKLİ ADET]],0)</f>
        <v>0</v>
      </c>
      <c r="H91" s="9">
        <f>SK[[#This Row],[SONDAN KALAN FİRE]]</f>
        <v>0</v>
      </c>
    </row>
    <row r="92" spans="1:8" x14ac:dyDescent="0.3">
      <c r="A92" s="12">
        <f>SK[[#This Row],[TARİH]]</f>
        <v>0</v>
      </c>
      <c r="B92" s="9">
        <f>SK[[#This Row],[TÜR]]</f>
        <v>0</v>
      </c>
      <c r="C92" s="9">
        <f>SK[[#This Row],[MALZEME ]]</f>
        <v>0</v>
      </c>
      <c r="D92" s="9">
        <f>SK[[#This Row],[KALİTE]]</f>
        <v>0</v>
      </c>
      <c r="E92" s="11">
        <f>SK[[#This Row],[FİRE]]</f>
        <v>0</v>
      </c>
      <c r="F92" s="11">
        <f>SK[[#This Row],[EŞİT FİRE]]</f>
        <v>0</v>
      </c>
      <c r="G92" s="9">
        <f>IF(MOD(SK[[#This Row],[GEREKLİ ADET]],2)=0,SK[[#This Row],[GEREKLİ ADET]],0)</f>
        <v>0</v>
      </c>
      <c r="H92" s="9">
        <f>SK[[#This Row],[SONDAN KALAN FİRE]]</f>
        <v>0</v>
      </c>
    </row>
    <row r="93" spans="1:8" x14ac:dyDescent="0.3">
      <c r="A93" s="12">
        <f>SK[[#This Row],[TARİH]]</f>
        <v>0</v>
      </c>
      <c r="B93" s="9">
        <f>SK[[#This Row],[TÜR]]</f>
        <v>0</v>
      </c>
      <c r="C93" s="9">
        <f>SK[[#This Row],[MALZEME ]]</f>
        <v>0</v>
      </c>
      <c r="D93" s="9">
        <f>SK[[#This Row],[KALİTE]]</f>
        <v>0</v>
      </c>
      <c r="E93" s="11">
        <f>SK[[#This Row],[FİRE]]</f>
        <v>0</v>
      </c>
      <c r="F93" s="11">
        <f>SK[[#This Row],[EŞİT FİRE]]</f>
        <v>0</v>
      </c>
      <c r="G93" s="9">
        <f>IF(MOD(SK[[#This Row],[GEREKLİ ADET]],2)=0,SK[[#This Row],[GEREKLİ ADET]],0)</f>
        <v>0</v>
      </c>
      <c r="H93" s="9">
        <f>SK[[#This Row],[SONDAN KALAN FİRE]]</f>
        <v>0</v>
      </c>
    </row>
    <row r="94" spans="1:8" x14ac:dyDescent="0.3">
      <c r="A94" s="12">
        <f>SK[[#This Row],[TARİH]]</f>
        <v>0</v>
      </c>
      <c r="B94" s="9">
        <f>SK[[#This Row],[TÜR]]</f>
        <v>0</v>
      </c>
      <c r="C94" s="9">
        <f>SK[[#This Row],[MALZEME ]]</f>
        <v>0</v>
      </c>
      <c r="D94" s="9">
        <f>SK[[#This Row],[KALİTE]]</f>
        <v>0</v>
      </c>
      <c r="E94" s="11">
        <f>SK[[#This Row],[FİRE]]</f>
        <v>0</v>
      </c>
      <c r="F94" s="11">
        <f>SK[[#This Row],[EŞİT FİRE]]</f>
        <v>0</v>
      </c>
      <c r="G94" s="9">
        <f>IF(MOD(SK[[#This Row],[GEREKLİ ADET]],2)=0,SK[[#This Row],[GEREKLİ ADET]],0)</f>
        <v>0</v>
      </c>
      <c r="H94" s="9">
        <f>SK[[#This Row],[SONDAN KALAN FİRE]]</f>
        <v>0</v>
      </c>
    </row>
    <row r="95" spans="1:8" x14ac:dyDescent="0.3">
      <c r="A95" s="12">
        <f>SK[[#This Row],[TARİH]]</f>
        <v>0</v>
      </c>
      <c r="B95" s="9">
        <f>SK[[#This Row],[TÜR]]</f>
        <v>0</v>
      </c>
      <c r="C95" s="9">
        <f>SK[[#This Row],[MALZEME ]]</f>
        <v>0</v>
      </c>
      <c r="D95" s="9">
        <f>SK[[#This Row],[KALİTE]]</f>
        <v>0</v>
      </c>
      <c r="E95" s="11">
        <f>SK[[#This Row],[FİRE]]</f>
        <v>0</v>
      </c>
      <c r="F95" s="11">
        <f>SK[[#This Row],[EŞİT FİRE]]</f>
        <v>0</v>
      </c>
      <c r="G95" s="9">
        <f>IF(MOD(SK[[#This Row],[GEREKLİ ADET]],2)=0,SK[[#This Row],[GEREKLİ ADET]],0)</f>
        <v>0</v>
      </c>
      <c r="H95" s="9">
        <f>SK[[#This Row],[SONDAN KALAN FİRE]]</f>
        <v>0</v>
      </c>
    </row>
    <row r="96" spans="1:8" x14ac:dyDescent="0.3">
      <c r="A96" s="12">
        <f>SK[[#This Row],[TARİH]]</f>
        <v>0</v>
      </c>
      <c r="B96" s="9">
        <f>SK[[#This Row],[TÜR]]</f>
        <v>0</v>
      </c>
      <c r="C96" s="9">
        <f>SK[[#This Row],[MALZEME ]]</f>
        <v>0</v>
      </c>
      <c r="D96" s="9">
        <f>SK[[#This Row],[KALİTE]]</f>
        <v>0</v>
      </c>
      <c r="E96" s="11">
        <f>SK[[#This Row],[FİRE]]</f>
        <v>0</v>
      </c>
      <c r="F96" s="11">
        <f>SK[[#This Row],[EŞİT FİRE]]</f>
        <v>0</v>
      </c>
      <c r="G96" s="9">
        <f>IF(MOD(SK[[#This Row],[GEREKLİ ADET]],2)=0,SK[[#This Row],[GEREKLİ ADET]],0)</f>
        <v>0</v>
      </c>
      <c r="H96" s="9">
        <f>SK[[#This Row],[SONDAN KALAN FİRE]]</f>
        <v>0</v>
      </c>
    </row>
    <row r="97" spans="1:8" x14ac:dyDescent="0.3">
      <c r="A97" s="12">
        <f>SK[[#This Row],[TARİH]]</f>
        <v>0</v>
      </c>
      <c r="B97" s="9">
        <f>SK[[#This Row],[TÜR]]</f>
        <v>0</v>
      </c>
      <c r="C97" s="9">
        <f>SK[[#This Row],[MALZEME ]]</f>
        <v>0</v>
      </c>
      <c r="D97" s="9">
        <f>SK[[#This Row],[KALİTE]]</f>
        <v>0</v>
      </c>
      <c r="E97" s="11">
        <f>SK[[#This Row],[FİRE]]</f>
        <v>0</v>
      </c>
      <c r="F97" s="11">
        <f>SK[[#This Row],[EŞİT FİRE]]</f>
        <v>0</v>
      </c>
      <c r="G97" s="9">
        <f>IF(MOD(SK[[#This Row],[GEREKLİ ADET]],2)=0,SK[[#This Row],[GEREKLİ ADET]],0)</f>
        <v>0</v>
      </c>
      <c r="H97" s="9">
        <f>SK[[#This Row],[SONDAN KALAN FİRE]]</f>
        <v>0</v>
      </c>
    </row>
    <row r="98" spans="1:8" x14ac:dyDescent="0.3">
      <c r="A98" s="12">
        <f>SK[[#This Row],[TARİH]]</f>
        <v>0</v>
      </c>
      <c r="B98" s="9">
        <f>SK[[#This Row],[TÜR]]</f>
        <v>0</v>
      </c>
      <c r="C98" s="9">
        <f>SK[[#This Row],[MALZEME ]]</f>
        <v>0</v>
      </c>
      <c r="D98" s="9">
        <f>SK[[#This Row],[KALİTE]]</f>
        <v>0</v>
      </c>
      <c r="E98" s="11">
        <f>SK[[#This Row],[FİRE]]</f>
        <v>0</v>
      </c>
      <c r="F98" s="11">
        <f>SK[[#This Row],[EŞİT FİRE]]</f>
        <v>0</v>
      </c>
      <c r="G98" s="9">
        <f>IF(MOD(SK[[#This Row],[GEREKLİ ADET]],2)=0,SK[[#This Row],[GEREKLİ ADET]],0)</f>
        <v>0</v>
      </c>
      <c r="H98" s="9">
        <f>SK[[#This Row],[SONDAN KALAN FİRE]]</f>
        <v>0</v>
      </c>
    </row>
    <row r="99" spans="1:8" x14ac:dyDescent="0.3">
      <c r="A99" s="12">
        <f>SK[[#This Row],[TARİH]]</f>
        <v>0</v>
      </c>
      <c r="B99" s="9">
        <f>SK[[#This Row],[TÜR]]</f>
        <v>0</v>
      </c>
      <c r="C99" s="9">
        <f>SK[[#This Row],[MALZEME ]]</f>
        <v>0</v>
      </c>
      <c r="D99" s="9">
        <f>SK[[#This Row],[KALİTE]]</f>
        <v>0</v>
      </c>
      <c r="E99" s="11">
        <f>SK[[#This Row],[FİRE]]</f>
        <v>0</v>
      </c>
      <c r="F99" s="11">
        <f>SK[[#This Row],[EŞİT FİRE]]</f>
        <v>0</v>
      </c>
      <c r="G99" s="9">
        <f>IF(MOD(SK[[#This Row],[GEREKLİ ADET]],2)=0,SK[[#This Row],[GEREKLİ ADET]],0)</f>
        <v>0</v>
      </c>
      <c r="H99" s="9">
        <f>SK[[#This Row],[SONDAN KALAN FİRE]]</f>
        <v>0</v>
      </c>
    </row>
    <row r="100" spans="1:8" x14ac:dyDescent="0.3">
      <c r="A100" s="12">
        <f>SK[[#This Row],[TARİH]]</f>
        <v>0</v>
      </c>
      <c r="B100" s="9">
        <f>SK[[#This Row],[TÜR]]</f>
        <v>0</v>
      </c>
      <c r="C100" s="9">
        <f>SK[[#This Row],[MALZEME ]]</f>
        <v>0</v>
      </c>
      <c r="D100" s="9">
        <f>SK[[#This Row],[KALİTE]]</f>
        <v>0</v>
      </c>
      <c r="E100" s="11">
        <f>SK[[#This Row],[FİRE]]</f>
        <v>0</v>
      </c>
      <c r="F100" s="11">
        <f>SK[[#This Row],[EŞİT FİRE]]</f>
        <v>0</v>
      </c>
      <c r="G100" s="9">
        <f>IF(MOD(SK[[#This Row],[GEREKLİ ADET]],2)=0,SK[[#This Row],[GEREKLİ ADET]],0)</f>
        <v>0</v>
      </c>
      <c r="H100" s="9">
        <f>SK[[#This Row],[SONDAN KALAN FİRE]]</f>
        <v>0</v>
      </c>
    </row>
    <row r="101" spans="1:8" x14ac:dyDescent="0.3">
      <c r="A101" s="12">
        <f>SK[[#This Row],[TARİH]]</f>
        <v>0</v>
      </c>
      <c r="B101" s="9">
        <f>SK[[#This Row],[TÜR]]</f>
        <v>0</v>
      </c>
      <c r="C101" s="9">
        <f>SK[[#This Row],[MALZEME ]]</f>
        <v>0</v>
      </c>
      <c r="D101" s="9">
        <f>SK[[#This Row],[KALİTE]]</f>
        <v>0</v>
      </c>
      <c r="E101" s="11">
        <f>SK[[#This Row],[FİRE]]</f>
        <v>0</v>
      </c>
      <c r="F101" s="11">
        <f>SK[[#This Row],[EŞİT FİRE]]</f>
        <v>0</v>
      </c>
      <c r="G101" s="9">
        <f>IF(MOD(SK[[#This Row],[GEREKLİ ADET]],2)=0,SK[[#This Row],[GEREKLİ ADET]],0)</f>
        <v>0</v>
      </c>
      <c r="H101" s="9">
        <f>SK[[#This Row],[SONDAN KALAN FİRE]]</f>
        <v>0</v>
      </c>
    </row>
    <row r="102" spans="1:8" x14ac:dyDescent="0.3">
      <c r="A102" s="12">
        <f>SK[[#This Row],[TARİH]]</f>
        <v>0</v>
      </c>
      <c r="B102" s="9">
        <f>SK[[#This Row],[TÜR]]</f>
        <v>0</v>
      </c>
      <c r="C102" s="9">
        <f>SK[[#This Row],[MALZEME ]]</f>
        <v>0</v>
      </c>
      <c r="D102" s="9">
        <f>SK[[#This Row],[KALİTE]]</f>
        <v>0</v>
      </c>
      <c r="E102" s="11">
        <f>SK[[#This Row],[FİRE]]</f>
        <v>0</v>
      </c>
      <c r="F102" s="11">
        <f>SK[[#This Row],[EŞİT FİRE]]</f>
        <v>0</v>
      </c>
      <c r="G102" s="9">
        <f>IF(MOD(SK[[#This Row],[GEREKLİ ADET]],2)=0,SK[[#This Row],[GEREKLİ ADET]],0)</f>
        <v>0</v>
      </c>
      <c r="H102" s="9">
        <f>SK[[#This Row],[SONDAN KALAN FİRE]]</f>
        <v>0</v>
      </c>
    </row>
    <row r="103" spans="1:8" x14ac:dyDescent="0.3">
      <c r="A103" s="12">
        <f>SK[[#This Row],[TARİH]]</f>
        <v>0</v>
      </c>
      <c r="B103" s="9">
        <f>SK[[#This Row],[TÜR]]</f>
        <v>0</v>
      </c>
      <c r="C103" s="9">
        <f>SK[[#This Row],[MALZEME ]]</f>
        <v>0</v>
      </c>
      <c r="D103" s="9">
        <f>SK[[#This Row],[KALİTE]]</f>
        <v>0</v>
      </c>
      <c r="E103" s="11">
        <f>SK[[#This Row],[FİRE]]</f>
        <v>0</v>
      </c>
      <c r="F103" s="11">
        <f>SK[[#This Row],[EŞİT FİRE]]</f>
        <v>0</v>
      </c>
      <c r="G103" s="9">
        <f>IF(MOD(SK[[#This Row],[GEREKLİ ADET]],2)=0,SK[[#This Row],[GEREKLİ ADET]],0)</f>
        <v>0</v>
      </c>
      <c r="H103" s="9">
        <f>SK[[#This Row],[SONDAN KALAN FİRE]]</f>
        <v>0</v>
      </c>
    </row>
    <row r="104" spans="1:8" x14ac:dyDescent="0.3">
      <c r="A104" s="12">
        <f>SK[[#This Row],[TARİH]]</f>
        <v>0</v>
      </c>
      <c r="B104" s="9">
        <f>SK[[#This Row],[TÜR]]</f>
        <v>0</v>
      </c>
      <c r="C104" s="9">
        <f>SK[[#This Row],[MALZEME ]]</f>
        <v>0</v>
      </c>
      <c r="D104" s="9">
        <f>SK[[#This Row],[KALİTE]]</f>
        <v>0</v>
      </c>
      <c r="E104" s="11">
        <f>SK[[#This Row],[FİRE]]</f>
        <v>0</v>
      </c>
      <c r="F104" s="11">
        <f>SK[[#This Row],[EŞİT FİRE]]</f>
        <v>0</v>
      </c>
      <c r="G104" s="9">
        <f>IF(MOD(SK[[#This Row],[GEREKLİ ADET]],2)=0,SK[[#This Row],[GEREKLİ ADET]],0)</f>
        <v>0</v>
      </c>
      <c r="H104" s="9">
        <f>SK[[#This Row],[SONDAN KALAN FİRE]]</f>
        <v>0</v>
      </c>
    </row>
    <row r="105" spans="1:8" x14ac:dyDescent="0.3">
      <c r="A105" s="12">
        <f>SK[[#This Row],[TARİH]]</f>
        <v>0</v>
      </c>
      <c r="B105" s="9">
        <f>SK[[#This Row],[TÜR]]</f>
        <v>0</v>
      </c>
      <c r="C105" s="9">
        <f>SK[[#This Row],[MALZEME ]]</f>
        <v>0</v>
      </c>
      <c r="D105" s="9">
        <f>SK[[#This Row],[KALİTE]]</f>
        <v>0</v>
      </c>
      <c r="E105" s="11">
        <f>SK[[#This Row],[FİRE]]</f>
        <v>0</v>
      </c>
      <c r="F105" s="11">
        <f>SK[[#This Row],[EŞİT FİRE]]</f>
        <v>0</v>
      </c>
      <c r="G105" s="9">
        <f>IF(MOD(SK[[#This Row],[GEREKLİ ADET]],2)=0,SK[[#This Row],[GEREKLİ ADET]],0)</f>
        <v>0</v>
      </c>
      <c r="H105" s="9">
        <f>SK[[#This Row],[SONDAN KALAN FİRE]]</f>
        <v>0</v>
      </c>
    </row>
    <row r="106" spans="1:8" x14ac:dyDescent="0.3">
      <c r="A106" s="12">
        <f>SK[[#This Row],[TARİH]]</f>
        <v>0</v>
      </c>
      <c r="B106" s="9">
        <f>SK[[#This Row],[TÜR]]</f>
        <v>0</v>
      </c>
      <c r="C106" s="9">
        <f>SK[[#This Row],[MALZEME ]]</f>
        <v>0</v>
      </c>
      <c r="D106" s="9">
        <f>SK[[#This Row],[KALİTE]]</f>
        <v>0</v>
      </c>
      <c r="E106" s="11">
        <f>SK[[#This Row],[FİRE]]</f>
        <v>0</v>
      </c>
      <c r="F106" s="11">
        <f>SK[[#This Row],[EŞİT FİRE]]</f>
        <v>0</v>
      </c>
      <c r="G106" s="9">
        <f>IF(MOD(SK[[#This Row],[GEREKLİ ADET]],2)=0,SK[[#This Row],[GEREKLİ ADET]],0)</f>
        <v>0</v>
      </c>
      <c r="H106" s="9">
        <f>SK[[#This Row],[SONDAN KALAN FİRE]]</f>
        <v>0</v>
      </c>
    </row>
    <row r="107" spans="1:8" x14ac:dyDescent="0.3">
      <c r="A107" s="12">
        <f>SK[[#This Row],[TARİH]]</f>
        <v>0</v>
      </c>
      <c r="B107" s="9">
        <f>SK[[#This Row],[TÜR]]</f>
        <v>0</v>
      </c>
      <c r="C107" s="9">
        <f>SK[[#This Row],[MALZEME ]]</f>
        <v>0</v>
      </c>
      <c r="D107" s="9">
        <f>SK[[#This Row],[KALİTE]]</f>
        <v>0</v>
      </c>
      <c r="E107" s="11">
        <f>SK[[#This Row],[FİRE]]</f>
        <v>0</v>
      </c>
      <c r="F107" s="11">
        <f>SK[[#This Row],[EŞİT FİRE]]</f>
        <v>0</v>
      </c>
      <c r="G107" s="9">
        <f>IF(MOD(SK[[#This Row],[GEREKLİ ADET]],2)=0,SK[[#This Row],[GEREKLİ ADET]],0)</f>
        <v>0</v>
      </c>
      <c r="H107" s="9">
        <f>SK[[#This Row],[SONDAN KALAN FİRE]]</f>
        <v>0</v>
      </c>
    </row>
    <row r="108" spans="1:8" x14ac:dyDescent="0.3">
      <c r="A108" s="12">
        <f>SK[[#This Row],[TARİH]]</f>
        <v>0</v>
      </c>
      <c r="B108" s="9">
        <f>SK[[#This Row],[TÜR]]</f>
        <v>0</v>
      </c>
      <c r="C108" s="9">
        <f>SK[[#This Row],[MALZEME ]]</f>
        <v>0</v>
      </c>
      <c r="D108" s="9">
        <f>SK[[#This Row],[KALİTE]]</f>
        <v>0</v>
      </c>
      <c r="E108" s="11">
        <f>SK[[#This Row],[FİRE]]</f>
        <v>0</v>
      </c>
      <c r="F108" s="11">
        <f>SK[[#This Row],[EŞİT FİRE]]</f>
        <v>0</v>
      </c>
      <c r="G108" s="9">
        <f>IF(MOD(SK[[#This Row],[GEREKLİ ADET]],2)=0,SK[[#This Row],[GEREKLİ ADET]],0)</f>
        <v>0</v>
      </c>
      <c r="H108" s="9">
        <f>SK[[#This Row],[SONDAN KALAN FİRE]]</f>
        <v>0</v>
      </c>
    </row>
    <row r="109" spans="1:8" x14ac:dyDescent="0.3">
      <c r="A109" s="12">
        <f>SK[[#This Row],[TARİH]]</f>
        <v>0</v>
      </c>
      <c r="B109" s="9">
        <f>SK[[#This Row],[TÜR]]</f>
        <v>0</v>
      </c>
      <c r="C109" s="9">
        <f>SK[[#This Row],[MALZEME ]]</f>
        <v>0</v>
      </c>
      <c r="D109" s="9">
        <f>SK[[#This Row],[KALİTE]]</f>
        <v>0</v>
      </c>
      <c r="E109" s="11">
        <f>SK[[#This Row],[FİRE]]</f>
        <v>0</v>
      </c>
      <c r="F109" s="11">
        <f>SK[[#This Row],[EŞİT FİRE]]</f>
        <v>0</v>
      </c>
      <c r="G109" s="9">
        <f>IF(MOD(SK[[#This Row],[GEREKLİ ADET]],2)=0,SK[[#This Row],[GEREKLİ ADET]],0)</f>
        <v>0</v>
      </c>
      <c r="H109" s="9">
        <f>SK[[#This Row],[SONDAN KALAN FİRE]]</f>
        <v>0</v>
      </c>
    </row>
    <row r="110" spans="1:8" x14ac:dyDescent="0.3">
      <c r="A110" s="12">
        <f>SK[[#This Row],[TARİH]]</f>
        <v>0</v>
      </c>
      <c r="B110" s="9">
        <f>SK[[#This Row],[TÜR]]</f>
        <v>0</v>
      </c>
      <c r="C110" s="9">
        <f>SK[[#This Row],[MALZEME ]]</f>
        <v>0</v>
      </c>
      <c r="D110" s="9">
        <f>SK[[#This Row],[KALİTE]]</f>
        <v>0</v>
      </c>
      <c r="E110" s="11">
        <f>SK[[#This Row],[FİRE]]</f>
        <v>0</v>
      </c>
      <c r="F110" s="11">
        <f>SK[[#This Row],[EŞİT FİRE]]</f>
        <v>0</v>
      </c>
      <c r="G110" s="9">
        <f>IF(MOD(SK[[#This Row],[GEREKLİ ADET]],2)=0,SK[[#This Row],[GEREKLİ ADET]],0)</f>
        <v>0</v>
      </c>
      <c r="H110" s="9">
        <f>SK[[#This Row],[SONDAN KALAN FİRE]]</f>
        <v>0</v>
      </c>
    </row>
    <row r="111" spans="1:8" x14ac:dyDescent="0.3">
      <c r="A111" s="12">
        <f>SK[[#This Row],[TARİH]]</f>
        <v>0</v>
      </c>
      <c r="B111" s="9">
        <f>SK[[#This Row],[TÜR]]</f>
        <v>0</v>
      </c>
      <c r="C111" s="9">
        <f>SK[[#This Row],[MALZEME ]]</f>
        <v>0</v>
      </c>
      <c r="D111" s="9">
        <f>SK[[#This Row],[KALİTE]]</f>
        <v>0</v>
      </c>
      <c r="E111" s="11">
        <f>SK[[#This Row],[FİRE]]</f>
        <v>0</v>
      </c>
      <c r="F111" s="11">
        <f>SK[[#This Row],[EŞİT FİRE]]</f>
        <v>0</v>
      </c>
      <c r="G111" s="9">
        <f>IF(MOD(SK[[#This Row],[GEREKLİ ADET]],2)=0,SK[[#This Row],[GEREKLİ ADET]],0)</f>
        <v>0</v>
      </c>
      <c r="H111" s="9">
        <f>SK[[#This Row],[SONDAN KALAN FİRE]]</f>
        <v>0</v>
      </c>
    </row>
    <row r="112" spans="1:8" x14ac:dyDescent="0.3">
      <c r="A112" s="12">
        <f>SK[[#This Row],[TARİH]]</f>
        <v>0</v>
      </c>
      <c r="B112" s="9">
        <f>SK[[#This Row],[TÜR]]</f>
        <v>0</v>
      </c>
      <c r="C112" s="9">
        <f>SK[[#This Row],[MALZEME ]]</f>
        <v>0</v>
      </c>
      <c r="D112" s="9">
        <f>SK[[#This Row],[KALİTE]]</f>
        <v>0</v>
      </c>
      <c r="E112" s="11">
        <f>SK[[#This Row],[FİRE]]</f>
        <v>0</v>
      </c>
      <c r="F112" s="11">
        <f>SK[[#This Row],[EŞİT FİRE]]</f>
        <v>0</v>
      </c>
      <c r="G112" s="9">
        <f>IF(MOD(SK[[#This Row],[GEREKLİ ADET]],2)=0,SK[[#This Row],[GEREKLİ ADET]],0)</f>
        <v>0</v>
      </c>
      <c r="H112" s="9">
        <f>SK[[#This Row],[SONDAN KALAN FİRE]]</f>
        <v>0</v>
      </c>
    </row>
    <row r="113" spans="1:8" x14ac:dyDescent="0.3">
      <c r="A113" s="12">
        <f>SK[[#This Row],[TARİH]]</f>
        <v>0</v>
      </c>
      <c r="B113" s="9">
        <f>SK[[#This Row],[TÜR]]</f>
        <v>0</v>
      </c>
      <c r="C113" s="9">
        <f>SK[[#This Row],[MALZEME ]]</f>
        <v>0</v>
      </c>
      <c r="D113" s="9">
        <f>SK[[#This Row],[KALİTE]]</f>
        <v>0</v>
      </c>
      <c r="E113" s="11">
        <f>SK[[#This Row],[FİRE]]</f>
        <v>0</v>
      </c>
      <c r="F113" s="11">
        <f>SK[[#This Row],[EŞİT FİRE]]</f>
        <v>0</v>
      </c>
      <c r="G113" s="9">
        <f>IF(MOD(SK[[#This Row],[GEREKLİ ADET]],2)=0,SK[[#This Row],[GEREKLİ ADET]],0)</f>
        <v>0</v>
      </c>
      <c r="H113" s="9">
        <f>SK[[#This Row],[SONDAN KALAN FİRE]]</f>
        <v>0</v>
      </c>
    </row>
    <row r="114" spans="1:8" x14ac:dyDescent="0.3">
      <c r="A114" s="12">
        <f>SK[[#This Row],[TARİH]]</f>
        <v>0</v>
      </c>
      <c r="B114" s="9">
        <f>SK[[#This Row],[TÜR]]</f>
        <v>0</v>
      </c>
      <c r="C114" s="9">
        <f>SK[[#This Row],[MALZEME ]]</f>
        <v>0</v>
      </c>
      <c r="D114" s="9">
        <f>SK[[#This Row],[KALİTE]]</f>
        <v>0</v>
      </c>
      <c r="E114" s="11">
        <f>SK[[#This Row],[FİRE]]</f>
        <v>0</v>
      </c>
      <c r="F114" s="11">
        <f>SK[[#This Row],[EŞİT FİRE]]</f>
        <v>0</v>
      </c>
      <c r="G114" s="9">
        <f>IF(MOD(SK[[#This Row],[GEREKLİ ADET]],2)=0,SK[[#This Row],[GEREKLİ ADET]],0)</f>
        <v>0</v>
      </c>
      <c r="H114" s="9">
        <f>SK[[#This Row],[SONDAN KALAN FİRE]]</f>
        <v>0</v>
      </c>
    </row>
    <row r="115" spans="1:8" x14ac:dyDescent="0.3">
      <c r="A115" s="12">
        <f>SK[[#This Row],[TARİH]]</f>
        <v>0</v>
      </c>
      <c r="B115" s="9">
        <f>SK[[#This Row],[TÜR]]</f>
        <v>0</v>
      </c>
      <c r="C115" s="9">
        <f>SK[[#This Row],[MALZEME ]]</f>
        <v>0</v>
      </c>
      <c r="D115" s="9">
        <f>SK[[#This Row],[KALİTE]]</f>
        <v>0</v>
      </c>
      <c r="E115" s="11">
        <f>SK[[#This Row],[FİRE]]</f>
        <v>0</v>
      </c>
      <c r="F115" s="11">
        <f>SK[[#This Row],[EŞİT FİRE]]</f>
        <v>0</v>
      </c>
      <c r="G115" s="9">
        <f>IF(MOD(SK[[#This Row],[GEREKLİ ADET]],2)=0,SK[[#This Row],[GEREKLİ ADET]],0)</f>
        <v>0</v>
      </c>
      <c r="H115" s="9">
        <f>SK[[#This Row],[SONDAN KALAN FİRE]]</f>
        <v>0</v>
      </c>
    </row>
    <row r="116" spans="1:8" x14ac:dyDescent="0.3">
      <c r="A116" s="12">
        <f>SK[[#This Row],[TARİH]]</f>
        <v>0</v>
      </c>
      <c r="B116" s="9">
        <f>SK[[#This Row],[TÜR]]</f>
        <v>0</v>
      </c>
      <c r="C116" s="9">
        <f>SK[[#This Row],[MALZEME ]]</f>
        <v>0</v>
      </c>
      <c r="D116" s="9">
        <f>SK[[#This Row],[KALİTE]]</f>
        <v>0</v>
      </c>
      <c r="E116" s="11">
        <f>SK[[#This Row],[FİRE]]</f>
        <v>0</v>
      </c>
      <c r="F116" s="11">
        <f>SK[[#This Row],[EŞİT FİRE]]</f>
        <v>0</v>
      </c>
      <c r="G116" s="9">
        <f>IF(MOD(SK[[#This Row],[GEREKLİ ADET]],2)=0,SK[[#This Row],[GEREKLİ ADET]],0)</f>
        <v>0</v>
      </c>
      <c r="H116" s="9">
        <f>SK[[#This Row],[SONDAN KALAN FİRE]]</f>
        <v>0</v>
      </c>
    </row>
    <row r="117" spans="1:8" x14ac:dyDescent="0.3">
      <c r="A117" s="12">
        <f>SK[[#This Row],[TARİH]]</f>
        <v>0</v>
      </c>
      <c r="B117" s="9">
        <f>SK[[#This Row],[TÜR]]</f>
        <v>0</v>
      </c>
      <c r="C117" s="9">
        <f>SK[[#This Row],[MALZEME ]]</f>
        <v>0</v>
      </c>
      <c r="D117" s="9">
        <f>SK[[#This Row],[KALİTE]]</f>
        <v>0</v>
      </c>
      <c r="E117" s="11">
        <f>SK[[#This Row],[FİRE]]</f>
        <v>0</v>
      </c>
      <c r="F117" s="11">
        <f>SK[[#This Row],[EŞİT FİRE]]</f>
        <v>0</v>
      </c>
      <c r="G117" s="9">
        <f>IF(MOD(SK[[#This Row],[GEREKLİ ADET]],2)=0,SK[[#This Row],[GEREKLİ ADET]],0)</f>
        <v>0</v>
      </c>
      <c r="H117" s="9">
        <f>SK[[#This Row],[SONDAN KALAN FİRE]]</f>
        <v>0</v>
      </c>
    </row>
    <row r="118" spans="1:8" x14ac:dyDescent="0.3">
      <c r="A118" s="12">
        <f>SK[[#This Row],[TARİH]]</f>
        <v>0</v>
      </c>
      <c r="B118" s="9">
        <f>SK[[#This Row],[TÜR]]</f>
        <v>0</v>
      </c>
      <c r="C118" s="9">
        <f>SK[[#This Row],[MALZEME ]]</f>
        <v>0</v>
      </c>
      <c r="D118" s="9">
        <f>SK[[#This Row],[KALİTE]]</f>
        <v>0</v>
      </c>
      <c r="E118" s="11">
        <f>SK[[#This Row],[FİRE]]</f>
        <v>0</v>
      </c>
      <c r="F118" s="11">
        <f>SK[[#This Row],[EŞİT FİRE]]</f>
        <v>0</v>
      </c>
      <c r="G118" s="9">
        <f>IF(MOD(SK[[#This Row],[GEREKLİ ADET]],2)=0,SK[[#This Row],[GEREKLİ ADET]],0)</f>
        <v>0</v>
      </c>
      <c r="H118" s="9">
        <f>SK[[#This Row],[SONDAN KALAN FİRE]]</f>
        <v>0</v>
      </c>
    </row>
    <row r="119" spans="1:8" x14ac:dyDescent="0.3">
      <c r="A119" s="12">
        <f>SK[[#This Row],[TARİH]]</f>
        <v>0</v>
      </c>
      <c r="B119" s="9">
        <f>SK[[#This Row],[TÜR]]</f>
        <v>0</v>
      </c>
      <c r="C119" s="9">
        <f>SK[[#This Row],[MALZEME ]]</f>
        <v>0</v>
      </c>
      <c r="D119" s="9">
        <f>SK[[#This Row],[KALİTE]]</f>
        <v>0</v>
      </c>
      <c r="E119" s="11">
        <f>SK[[#This Row],[FİRE]]</f>
        <v>0</v>
      </c>
      <c r="F119" s="11">
        <f>SK[[#This Row],[EŞİT FİRE]]</f>
        <v>0</v>
      </c>
      <c r="G119" s="9">
        <f>IF(MOD(SK[[#This Row],[GEREKLİ ADET]],2)=0,SK[[#This Row],[GEREKLİ ADET]],0)</f>
        <v>0</v>
      </c>
      <c r="H119" s="9">
        <f>SK[[#This Row],[SONDAN KALAN FİRE]]</f>
        <v>0</v>
      </c>
    </row>
    <row r="120" spans="1:8" x14ac:dyDescent="0.3">
      <c r="A120" s="12">
        <f>SK[[#This Row],[TARİH]]</f>
        <v>0</v>
      </c>
      <c r="B120" s="9">
        <f>SK[[#This Row],[TÜR]]</f>
        <v>0</v>
      </c>
      <c r="C120" s="9">
        <f>SK[[#This Row],[MALZEME ]]</f>
        <v>0</v>
      </c>
      <c r="D120" s="9">
        <f>SK[[#This Row],[KALİTE]]</f>
        <v>0</v>
      </c>
      <c r="E120" s="11">
        <f>SK[[#This Row],[FİRE]]</f>
        <v>0</v>
      </c>
      <c r="F120" s="11">
        <f>SK[[#This Row],[EŞİT FİRE]]</f>
        <v>0</v>
      </c>
      <c r="G120" s="9">
        <f>IF(MOD(SK[[#This Row],[GEREKLİ ADET]],2)=0,SK[[#This Row],[GEREKLİ ADET]],0)</f>
        <v>0</v>
      </c>
      <c r="H120" s="9">
        <f>SK[[#This Row],[SONDAN KALAN FİRE]]</f>
        <v>0</v>
      </c>
    </row>
    <row r="121" spans="1:8" x14ac:dyDescent="0.3">
      <c r="A121" s="12">
        <f>SK[[#This Row],[TARİH]]</f>
        <v>0</v>
      </c>
      <c r="B121" s="9">
        <f>SK[[#This Row],[TÜR]]</f>
        <v>0</v>
      </c>
      <c r="C121" s="9">
        <f>SK[[#This Row],[MALZEME ]]</f>
        <v>0</v>
      </c>
      <c r="D121" s="9">
        <f>SK[[#This Row],[KALİTE]]</f>
        <v>0</v>
      </c>
      <c r="E121" s="11">
        <f>SK[[#This Row],[FİRE]]</f>
        <v>0</v>
      </c>
      <c r="F121" s="11">
        <f>SK[[#This Row],[EŞİT FİRE]]</f>
        <v>0</v>
      </c>
      <c r="G121" s="9">
        <f>IF(MOD(SK[[#This Row],[GEREKLİ ADET]],2)=0,SK[[#This Row],[GEREKLİ ADET]],0)</f>
        <v>0</v>
      </c>
      <c r="H121" s="9">
        <f>SK[[#This Row],[SONDAN KALAN FİRE]]</f>
        <v>0</v>
      </c>
    </row>
    <row r="122" spans="1:8" x14ac:dyDescent="0.3">
      <c r="A122" s="12">
        <f>SK[[#This Row],[TARİH]]</f>
        <v>0</v>
      </c>
      <c r="B122" s="9">
        <f>SK[[#This Row],[TÜR]]</f>
        <v>0</v>
      </c>
      <c r="C122" s="9">
        <f>SK[[#This Row],[MALZEME ]]</f>
        <v>0</v>
      </c>
      <c r="D122" s="9">
        <f>SK[[#This Row],[KALİTE]]</f>
        <v>0</v>
      </c>
      <c r="E122" s="11">
        <f>SK[[#This Row],[FİRE]]</f>
        <v>0</v>
      </c>
      <c r="F122" s="11">
        <f>SK[[#This Row],[EŞİT FİRE]]</f>
        <v>0</v>
      </c>
      <c r="G122" s="9">
        <f>IF(MOD(SK[[#This Row],[GEREKLİ ADET]],2)=0,SK[[#This Row],[GEREKLİ ADET]],0)</f>
        <v>0</v>
      </c>
      <c r="H122" s="9">
        <f>SK[[#This Row],[SONDAN KALAN FİRE]]</f>
        <v>0</v>
      </c>
    </row>
    <row r="123" spans="1:8" x14ac:dyDescent="0.3">
      <c r="A123" s="12">
        <f>SK[[#This Row],[TARİH]]</f>
        <v>0</v>
      </c>
      <c r="B123" s="9">
        <f>SK[[#This Row],[TÜR]]</f>
        <v>0</v>
      </c>
      <c r="C123" s="9">
        <f>SK[[#This Row],[MALZEME ]]</f>
        <v>0</v>
      </c>
      <c r="D123" s="9">
        <f>SK[[#This Row],[KALİTE]]</f>
        <v>0</v>
      </c>
      <c r="E123" s="11">
        <f>SK[[#This Row],[FİRE]]</f>
        <v>0</v>
      </c>
      <c r="F123" s="11">
        <f>SK[[#This Row],[EŞİT FİRE]]</f>
        <v>0</v>
      </c>
      <c r="G123" s="9">
        <f>IF(MOD(SK[[#This Row],[GEREKLİ ADET]],2)=0,SK[[#This Row],[GEREKLİ ADET]],0)</f>
        <v>0</v>
      </c>
      <c r="H123" s="9">
        <f>SK[[#This Row],[SONDAN KALAN FİRE]]</f>
        <v>0</v>
      </c>
    </row>
    <row r="124" spans="1:8" x14ac:dyDescent="0.3">
      <c r="A124" s="12">
        <f>SK[[#This Row],[TARİH]]</f>
        <v>0</v>
      </c>
      <c r="B124" s="9">
        <f>SK[[#This Row],[TÜR]]</f>
        <v>0</v>
      </c>
      <c r="C124" s="9">
        <f>SK[[#This Row],[MALZEME ]]</f>
        <v>0</v>
      </c>
      <c r="D124" s="9">
        <f>SK[[#This Row],[KALİTE]]</f>
        <v>0</v>
      </c>
      <c r="E124" s="11">
        <f>SK[[#This Row],[FİRE]]</f>
        <v>0</v>
      </c>
      <c r="F124" s="11">
        <f>SK[[#This Row],[EŞİT FİRE]]</f>
        <v>0</v>
      </c>
      <c r="G124" s="9">
        <f>IF(MOD(SK[[#This Row],[GEREKLİ ADET]],2)=0,SK[[#This Row],[GEREKLİ ADET]],0)</f>
        <v>0</v>
      </c>
      <c r="H124" s="9">
        <f>SK[[#This Row],[SONDAN KALAN FİRE]]</f>
        <v>0</v>
      </c>
    </row>
    <row r="125" spans="1:8" x14ac:dyDescent="0.3">
      <c r="A125" s="12">
        <f>SK[[#This Row],[TARİH]]</f>
        <v>0</v>
      </c>
      <c r="B125" s="9">
        <f>SK[[#This Row],[TÜR]]</f>
        <v>0</v>
      </c>
      <c r="C125" s="9">
        <f>SK[[#This Row],[MALZEME ]]</f>
        <v>0</v>
      </c>
      <c r="D125" s="9">
        <f>SK[[#This Row],[KALİTE]]</f>
        <v>0</v>
      </c>
      <c r="E125" s="11">
        <f>SK[[#This Row],[FİRE]]</f>
        <v>0</v>
      </c>
      <c r="F125" s="11">
        <f>SK[[#This Row],[EŞİT FİRE]]</f>
        <v>0</v>
      </c>
      <c r="G125" s="9">
        <f>IF(MOD(SK[[#This Row],[GEREKLİ ADET]],2)=0,SK[[#This Row],[GEREKLİ ADET]],0)</f>
        <v>0</v>
      </c>
      <c r="H125" s="9">
        <f>SK[[#This Row],[SONDAN KALAN FİRE]]</f>
        <v>0</v>
      </c>
    </row>
    <row r="126" spans="1:8" x14ac:dyDescent="0.3">
      <c r="A126" s="12">
        <f>SK[[#This Row],[TARİH]]</f>
        <v>0</v>
      </c>
      <c r="B126" s="9">
        <f>SK[[#This Row],[TÜR]]</f>
        <v>0</v>
      </c>
      <c r="C126" s="9">
        <f>SK[[#This Row],[MALZEME ]]</f>
        <v>0</v>
      </c>
      <c r="D126" s="9">
        <f>SK[[#This Row],[KALİTE]]</f>
        <v>0</v>
      </c>
      <c r="E126" s="11">
        <f>SK[[#This Row],[FİRE]]</f>
        <v>0</v>
      </c>
      <c r="F126" s="11">
        <f>SK[[#This Row],[EŞİT FİRE]]</f>
        <v>0</v>
      </c>
      <c r="G126" s="9">
        <f>IF(MOD(SK[[#This Row],[GEREKLİ ADET]],2)=0,SK[[#This Row],[GEREKLİ ADET]],0)</f>
        <v>0</v>
      </c>
      <c r="H126" s="9">
        <f>SK[[#This Row],[SONDAN KALAN FİRE]]</f>
        <v>0</v>
      </c>
    </row>
    <row r="127" spans="1:8" x14ac:dyDescent="0.3">
      <c r="A127" s="12">
        <f>SK[[#This Row],[TARİH]]</f>
        <v>0</v>
      </c>
      <c r="B127" s="9">
        <f>SK[[#This Row],[TÜR]]</f>
        <v>0</v>
      </c>
      <c r="C127" s="9">
        <f>SK[[#This Row],[MALZEME ]]</f>
        <v>0</v>
      </c>
      <c r="D127" s="9">
        <f>SK[[#This Row],[KALİTE]]</f>
        <v>0</v>
      </c>
      <c r="E127" s="11">
        <f>SK[[#This Row],[FİRE]]</f>
        <v>0</v>
      </c>
      <c r="F127" s="11">
        <f>SK[[#This Row],[EŞİT FİRE]]</f>
        <v>0</v>
      </c>
      <c r="G127" s="9">
        <f>IF(MOD(SK[[#This Row],[GEREKLİ ADET]],2)=0,SK[[#This Row],[GEREKLİ ADET]],0)</f>
        <v>0</v>
      </c>
      <c r="H127" s="9">
        <f>SK[[#This Row],[SONDAN KALAN FİRE]]</f>
        <v>0</v>
      </c>
    </row>
    <row r="128" spans="1:8" x14ac:dyDescent="0.3">
      <c r="A128" s="12">
        <f>SK[[#This Row],[TARİH]]</f>
        <v>0</v>
      </c>
      <c r="B128" s="9">
        <f>SK[[#This Row],[TÜR]]</f>
        <v>0</v>
      </c>
      <c r="C128" s="9">
        <f>SK[[#This Row],[MALZEME ]]</f>
        <v>0</v>
      </c>
      <c r="D128" s="9">
        <f>SK[[#This Row],[KALİTE]]</f>
        <v>0</v>
      </c>
      <c r="E128" s="11">
        <f>SK[[#This Row],[FİRE]]</f>
        <v>0</v>
      </c>
      <c r="F128" s="11">
        <f>SK[[#This Row],[EŞİT FİRE]]</f>
        <v>0</v>
      </c>
      <c r="G128" s="9">
        <f>IF(MOD(SK[[#This Row],[GEREKLİ ADET]],2)=0,SK[[#This Row],[GEREKLİ ADET]],0)</f>
        <v>0</v>
      </c>
      <c r="H128" s="9">
        <f>SK[[#This Row],[SONDAN KALAN FİRE]]</f>
        <v>0</v>
      </c>
    </row>
    <row r="129" spans="1:8" x14ac:dyDescent="0.3">
      <c r="A129" s="12">
        <f>SK[[#This Row],[TARİH]]</f>
        <v>0</v>
      </c>
      <c r="B129" s="9">
        <f>SK[[#This Row],[TÜR]]</f>
        <v>0</v>
      </c>
      <c r="C129" s="9">
        <f>SK[[#This Row],[MALZEME ]]</f>
        <v>0</v>
      </c>
      <c r="D129" s="9">
        <f>SK[[#This Row],[KALİTE]]</f>
        <v>0</v>
      </c>
      <c r="E129" s="11">
        <f>SK[[#This Row],[FİRE]]</f>
        <v>0</v>
      </c>
      <c r="F129" s="11">
        <f>SK[[#This Row],[EŞİT FİRE]]</f>
        <v>0</v>
      </c>
      <c r="G129" s="9">
        <f>IF(MOD(SK[[#This Row],[GEREKLİ ADET]],2)=0,SK[[#This Row],[GEREKLİ ADET]],0)</f>
        <v>0</v>
      </c>
      <c r="H129" s="9">
        <f>SK[[#This Row],[SONDAN KALAN FİRE]]</f>
        <v>0</v>
      </c>
    </row>
    <row r="130" spans="1:8" x14ac:dyDescent="0.3">
      <c r="A130" s="12">
        <f>SK[[#This Row],[TARİH]]</f>
        <v>0</v>
      </c>
      <c r="B130" s="9">
        <f>SK[[#This Row],[TÜR]]</f>
        <v>0</v>
      </c>
      <c r="C130" s="9">
        <f>SK[[#This Row],[MALZEME ]]</f>
        <v>0</v>
      </c>
      <c r="D130" s="9">
        <f>SK[[#This Row],[KALİTE]]</f>
        <v>0</v>
      </c>
      <c r="E130" s="11">
        <f>SK[[#This Row],[FİRE]]</f>
        <v>0</v>
      </c>
      <c r="F130" s="11">
        <f>SK[[#This Row],[EŞİT FİRE]]</f>
        <v>0</v>
      </c>
      <c r="G130" s="9">
        <f>IF(MOD(SK[[#This Row],[GEREKLİ ADET]],2)=0,SK[[#This Row],[GEREKLİ ADET]],0)</f>
        <v>0</v>
      </c>
      <c r="H130" s="9">
        <f>SK[[#This Row],[SONDAN KALAN FİRE]]</f>
        <v>0</v>
      </c>
    </row>
    <row r="131" spans="1:8" x14ac:dyDescent="0.3">
      <c r="A131" s="12">
        <f>SK[[#This Row],[TARİH]]</f>
        <v>0</v>
      </c>
      <c r="B131" s="9">
        <f>SK[[#This Row],[TÜR]]</f>
        <v>0</v>
      </c>
      <c r="C131" s="9">
        <f>SK[[#This Row],[MALZEME ]]</f>
        <v>0</v>
      </c>
      <c r="D131" s="9">
        <f>SK[[#This Row],[KALİTE]]</f>
        <v>0</v>
      </c>
      <c r="E131" s="11">
        <f>SK[[#This Row],[FİRE]]</f>
        <v>0</v>
      </c>
      <c r="F131" s="11">
        <f>SK[[#This Row],[EŞİT FİRE]]</f>
        <v>0</v>
      </c>
      <c r="G131" s="9">
        <f>IF(MOD(SK[[#This Row],[GEREKLİ ADET]],2)=0,SK[[#This Row],[GEREKLİ ADET]],0)</f>
        <v>0</v>
      </c>
      <c r="H131" s="9">
        <f>SK[[#This Row],[SONDAN KALAN FİRE]]</f>
        <v>0</v>
      </c>
    </row>
    <row r="132" spans="1:8" x14ac:dyDescent="0.3">
      <c r="A132" s="12">
        <f>SK[[#This Row],[TARİH]]</f>
        <v>0</v>
      </c>
      <c r="B132" s="9">
        <f>SK[[#This Row],[TÜR]]</f>
        <v>0</v>
      </c>
      <c r="C132" s="9">
        <f>SK[[#This Row],[MALZEME ]]</f>
        <v>0</v>
      </c>
      <c r="D132" s="9">
        <f>SK[[#This Row],[KALİTE]]</f>
        <v>0</v>
      </c>
      <c r="E132" s="11">
        <f>SK[[#This Row],[FİRE]]</f>
        <v>0</v>
      </c>
      <c r="F132" s="11">
        <f>SK[[#This Row],[EŞİT FİRE]]</f>
        <v>0</v>
      </c>
      <c r="G132" s="9">
        <f>IF(MOD(SK[[#This Row],[GEREKLİ ADET]],2)=0,SK[[#This Row],[GEREKLİ ADET]],0)</f>
        <v>0</v>
      </c>
      <c r="H132" s="9">
        <f>SK[[#This Row],[SONDAN KALAN FİRE]]</f>
        <v>0</v>
      </c>
    </row>
    <row r="133" spans="1:8" x14ac:dyDescent="0.3">
      <c r="A133" s="12">
        <f>SK[[#This Row],[TARİH]]</f>
        <v>0</v>
      </c>
      <c r="B133" s="9">
        <f>SK[[#This Row],[TÜR]]</f>
        <v>0</v>
      </c>
      <c r="C133" s="9">
        <f>SK[[#This Row],[MALZEME ]]</f>
        <v>0</v>
      </c>
      <c r="D133" s="9">
        <f>SK[[#This Row],[KALİTE]]</f>
        <v>0</v>
      </c>
      <c r="E133" s="11">
        <f>SK[[#This Row],[FİRE]]</f>
        <v>0</v>
      </c>
      <c r="F133" s="11">
        <f>SK[[#This Row],[EŞİT FİRE]]</f>
        <v>0</v>
      </c>
      <c r="G133" s="9">
        <f>IF(MOD(SK[[#This Row],[GEREKLİ ADET]],2)=0,SK[[#This Row],[GEREKLİ ADET]],0)</f>
        <v>0</v>
      </c>
      <c r="H133" s="9">
        <f>SK[[#This Row],[SONDAN KALAN FİRE]]</f>
        <v>0</v>
      </c>
    </row>
    <row r="134" spans="1:8" x14ac:dyDescent="0.3">
      <c r="A134" s="12">
        <f>SK[[#This Row],[TARİH]]</f>
        <v>0</v>
      </c>
      <c r="B134" s="9">
        <f>SK[[#This Row],[TÜR]]</f>
        <v>0</v>
      </c>
      <c r="C134" s="9">
        <f>SK[[#This Row],[MALZEME ]]</f>
        <v>0</v>
      </c>
      <c r="D134" s="9">
        <f>SK[[#This Row],[KALİTE]]</f>
        <v>0</v>
      </c>
      <c r="E134" s="11">
        <f>SK[[#This Row],[FİRE]]</f>
        <v>0</v>
      </c>
      <c r="F134" s="11">
        <f>SK[[#This Row],[EŞİT FİRE]]</f>
        <v>0</v>
      </c>
      <c r="G134" s="9">
        <f>IF(MOD(SK[[#This Row],[GEREKLİ ADET]],2)=0,SK[[#This Row],[GEREKLİ ADET]],0)</f>
        <v>0</v>
      </c>
      <c r="H134" s="9">
        <f>SK[[#This Row],[SONDAN KALAN FİRE]]</f>
        <v>0</v>
      </c>
    </row>
    <row r="135" spans="1:8" x14ac:dyDescent="0.3">
      <c r="A135" s="12">
        <f>SK[[#This Row],[TARİH]]</f>
        <v>0</v>
      </c>
      <c r="B135" s="9">
        <f>SK[[#This Row],[TÜR]]</f>
        <v>0</v>
      </c>
      <c r="C135" s="9">
        <f>SK[[#This Row],[MALZEME ]]</f>
        <v>0</v>
      </c>
      <c r="D135" s="9">
        <f>SK[[#This Row],[KALİTE]]</f>
        <v>0</v>
      </c>
      <c r="E135" s="11">
        <f>SK[[#This Row],[FİRE]]</f>
        <v>0</v>
      </c>
      <c r="F135" s="11">
        <f>SK[[#This Row],[EŞİT FİRE]]</f>
        <v>0</v>
      </c>
      <c r="G135" s="9">
        <f>IF(MOD(SK[[#This Row],[GEREKLİ ADET]],2)=0,SK[[#This Row],[GEREKLİ ADET]],0)</f>
        <v>0</v>
      </c>
      <c r="H135" s="9">
        <f>SK[[#This Row],[SONDAN KALAN FİRE]]</f>
        <v>0</v>
      </c>
    </row>
    <row r="136" spans="1:8" x14ac:dyDescent="0.3">
      <c r="A136" s="12">
        <f>SK[[#This Row],[TARİH]]</f>
        <v>0</v>
      </c>
      <c r="B136" s="9">
        <f>SK[[#This Row],[TÜR]]</f>
        <v>0</v>
      </c>
      <c r="C136" s="9">
        <f>SK[[#This Row],[MALZEME ]]</f>
        <v>0</v>
      </c>
      <c r="D136" s="9">
        <f>SK[[#This Row],[KALİTE]]</f>
        <v>0</v>
      </c>
      <c r="E136" s="11">
        <f>SK[[#This Row],[FİRE]]</f>
        <v>0</v>
      </c>
      <c r="F136" s="11">
        <f>SK[[#This Row],[EŞİT FİRE]]</f>
        <v>0</v>
      </c>
      <c r="G136" s="9">
        <f>IF(MOD(SK[[#This Row],[GEREKLİ ADET]],2)=0,SK[[#This Row],[GEREKLİ ADET]],0)</f>
        <v>0</v>
      </c>
      <c r="H136" s="9">
        <f>SK[[#This Row],[SONDAN KALAN FİRE]]</f>
        <v>0</v>
      </c>
    </row>
    <row r="137" spans="1:8" x14ac:dyDescent="0.3">
      <c r="A137" s="12">
        <f>SK[[#This Row],[TARİH]]</f>
        <v>0</v>
      </c>
      <c r="B137" s="9">
        <f>SK[[#This Row],[TÜR]]</f>
        <v>0</v>
      </c>
      <c r="C137" s="9">
        <f>SK[[#This Row],[MALZEME ]]</f>
        <v>0</v>
      </c>
      <c r="D137" s="9">
        <f>SK[[#This Row],[KALİTE]]</f>
        <v>0</v>
      </c>
      <c r="E137" s="11">
        <f>SK[[#This Row],[FİRE]]</f>
        <v>0</v>
      </c>
      <c r="F137" s="11">
        <f>SK[[#This Row],[EŞİT FİRE]]</f>
        <v>0</v>
      </c>
      <c r="G137" s="9">
        <f>IF(MOD(SK[[#This Row],[GEREKLİ ADET]],2)=0,SK[[#This Row],[GEREKLİ ADET]],0)</f>
        <v>0</v>
      </c>
      <c r="H137" s="9">
        <f>SK[[#This Row],[SONDAN KALAN FİRE]]</f>
        <v>0</v>
      </c>
    </row>
    <row r="138" spans="1:8" x14ac:dyDescent="0.3">
      <c r="A138" s="12">
        <f>SK[[#This Row],[TARİH]]</f>
        <v>0</v>
      </c>
      <c r="B138" s="9">
        <f>SK[[#This Row],[TÜR]]</f>
        <v>0</v>
      </c>
      <c r="C138" s="9">
        <f>SK[[#This Row],[MALZEME ]]</f>
        <v>0</v>
      </c>
      <c r="D138" s="9">
        <f>SK[[#This Row],[KALİTE]]</f>
        <v>0</v>
      </c>
      <c r="E138" s="11">
        <f>SK[[#This Row],[FİRE]]</f>
        <v>0</v>
      </c>
      <c r="F138" s="11">
        <f>SK[[#This Row],[EŞİT FİRE]]</f>
        <v>0</v>
      </c>
      <c r="G138" s="9">
        <f>IF(MOD(SK[[#This Row],[GEREKLİ ADET]],2)=0,SK[[#This Row],[GEREKLİ ADET]],0)</f>
        <v>0</v>
      </c>
      <c r="H138" s="9">
        <f>SK[[#This Row],[SONDAN KALAN FİRE]]</f>
        <v>0</v>
      </c>
    </row>
    <row r="139" spans="1:8" x14ac:dyDescent="0.3">
      <c r="A139" s="12">
        <f>SK[[#This Row],[TARİH]]</f>
        <v>0</v>
      </c>
      <c r="B139" s="9">
        <f>SK[[#This Row],[TÜR]]</f>
        <v>0</v>
      </c>
      <c r="C139" s="9">
        <f>SK[[#This Row],[MALZEME ]]</f>
        <v>0</v>
      </c>
      <c r="D139" s="9">
        <f>SK[[#This Row],[KALİTE]]</f>
        <v>0</v>
      </c>
      <c r="E139" s="11">
        <f>SK[[#This Row],[FİRE]]</f>
        <v>0</v>
      </c>
      <c r="F139" s="11">
        <f>SK[[#This Row],[EŞİT FİRE]]</f>
        <v>0</v>
      </c>
      <c r="G139" s="9">
        <f>IF(MOD(SK[[#This Row],[GEREKLİ ADET]],2)=0,SK[[#This Row],[GEREKLİ ADET]],0)</f>
        <v>0</v>
      </c>
      <c r="H139" s="9">
        <f>SK[[#This Row],[SONDAN KALAN FİRE]]</f>
        <v>0</v>
      </c>
    </row>
    <row r="140" spans="1:8" x14ac:dyDescent="0.3">
      <c r="A140" s="12">
        <f>SK[[#This Row],[TARİH]]</f>
        <v>0</v>
      </c>
      <c r="B140" s="9">
        <f>SK[[#This Row],[TÜR]]</f>
        <v>0</v>
      </c>
      <c r="C140" s="9">
        <f>SK[[#This Row],[MALZEME ]]</f>
        <v>0</v>
      </c>
      <c r="D140" s="9">
        <f>SK[[#This Row],[KALİTE]]</f>
        <v>0</v>
      </c>
      <c r="E140" s="11">
        <f>SK[[#This Row],[FİRE]]</f>
        <v>0</v>
      </c>
      <c r="F140" s="11">
        <f>SK[[#This Row],[EŞİT FİRE]]</f>
        <v>0</v>
      </c>
      <c r="G140" s="9">
        <f>IF(MOD(SK[[#This Row],[GEREKLİ ADET]],2)=0,SK[[#This Row],[GEREKLİ ADET]],0)</f>
        <v>0</v>
      </c>
      <c r="H140" s="9">
        <f>SK[[#This Row],[SONDAN KALAN FİRE]]</f>
        <v>0</v>
      </c>
    </row>
    <row r="141" spans="1:8" x14ac:dyDescent="0.3">
      <c r="A141" s="12">
        <f>SK[[#This Row],[TARİH]]</f>
        <v>0</v>
      </c>
      <c r="B141" s="9">
        <f>SK[[#This Row],[TÜR]]</f>
        <v>0</v>
      </c>
      <c r="C141" s="9">
        <f>SK[[#This Row],[MALZEME ]]</f>
        <v>0</v>
      </c>
      <c r="D141" s="9">
        <f>SK[[#This Row],[KALİTE]]</f>
        <v>0</v>
      </c>
      <c r="E141" s="11">
        <f>SK[[#This Row],[FİRE]]</f>
        <v>0</v>
      </c>
      <c r="F141" s="11">
        <f>SK[[#This Row],[EŞİT FİRE]]</f>
        <v>0</v>
      </c>
      <c r="G141" s="9">
        <f>IF(MOD(SK[[#This Row],[GEREKLİ ADET]],2)=0,SK[[#This Row],[GEREKLİ ADET]],0)</f>
        <v>0</v>
      </c>
      <c r="H141" s="9">
        <f>SK[[#This Row],[SONDAN KALAN FİRE]]</f>
        <v>0</v>
      </c>
    </row>
    <row r="142" spans="1:8" x14ac:dyDescent="0.3">
      <c r="A142" s="12">
        <f>SK[[#This Row],[TARİH]]</f>
        <v>0</v>
      </c>
      <c r="B142" s="9">
        <f>SK[[#This Row],[TÜR]]</f>
        <v>0</v>
      </c>
      <c r="C142" s="9">
        <f>SK[[#This Row],[MALZEME ]]</f>
        <v>0</v>
      </c>
      <c r="D142" s="9">
        <f>SK[[#This Row],[KALİTE]]</f>
        <v>0</v>
      </c>
      <c r="E142" s="11">
        <f>SK[[#This Row],[FİRE]]</f>
        <v>0</v>
      </c>
      <c r="F142" s="11">
        <f>SK[[#This Row],[EŞİT FİRE]]</f>
        <v>0</v>
      </c>
      <c r="G142" s="9">
        <f>IF(MOD(SK[[#This Row],[GEREKLİ ADET]],2)=0,SK[[#This Row],[GEREKLİ ADET]],0)</f>
        <v>0</v>
      </c>
      <c r="H142" s="9">
        <f>SK[[#This Row],[SONDAN KALAN FİRE]]</f>
        <v>0</v>
      </c>
    </row>
    <row r="143" spans="1:8" x14ac:dyDescent="0.3">
      <c r="A143" s="12">
        <f>SK[[#This Row],[TARİH]]</f>
        <v>0</v>
      </c>
      <c r="B143" s="9">
        <f>SK[[#This Row],[TÜR]]</f>
        <v>0</v>
      </c>
      <c r="C143" s="9">
        <f>SK[[#This Row],[MALZEME ]]</f>
        <v>0</v>
      </c>
      <c r="D143" s="9">
        <f>SK[[#This Row],[KALİTE]]</f>
        <v>0</v>
      </c>
      <c r="E143" s="11">
        <f>SK[[#This Row],[FİRE]]</f>
        <v>0</v>
      </c>
      <c r="F143" s="11">
        <f>SK[[#This Row],[EŞİT FİRE]]</f>
        <v>0</v>
      </c>
      <c r="G143" s="9">
        <f>IF(MOD(SK[[#This Row],[GEREKLİ ADET]],2)=0,SK[[#This Row],[GEREKLİ ADET]],0)</f>
        <v>0</v>
      </c>
      <c r="H143" s="9">
        <f>SK[[#This Row],[SONDAN KALAN FİRE]]</f>
        <v>0</v>
      </c>
    </row>
    <row r="144" spans="1:8" x14ac:dyDescent="0.3">
      <c r="A144" s="12">
        <f>SK[[#This Row],[TARİH]]</f>
        <v>0</v>
      </c>
      <c r="B144" s="9">
        <f>SK[[#This Row],[TÜR]]</f>
        <v>0</v>
      </c>
      <c r="C144" s="9">
        <f>SK[[#This Row],[MALZEME ]]</f>
        <v>0</v>
      </c>
      <c r="D144" s="9">
        <f>SK[[#This Row],[KALİTE]]</f>
        <v>0</v>
      </c>
      <c r="E144" s="11">
        <f>SK[[#This Row],[FİRE]]</f>
        <v>0</v>
      </c>
      <c r="F144" s="11">
        <f>SK[[#This Row],[EŞİT FİRE]]</f>
        <v>0</v>
      </c>
      <c r="G144" s="9">
        <f>IF(MOD(SK[[#This Row],[GEREKLİ ADET]],2)=0,SK[[#This Row],[GEREKLİ ADET]],0)</f>
        <v>0</v>
      </c>
      <c r="H144" s="9">
        <f>SK[[#This Row],[SONDAN KALAN FİRE]]</f>
        <v>0</v>
      </c>
    </row>
    <row r="145" spans="1:8" x14ac:dyDescent="0.3">
      <c r="A145" s="12">
        <f>SK[[#This Row],[TARİH]]</f>
        <v>0</v>
      </c>
      <c r="B145" s="9">
        <f>SK[[#This Row],[TÜR]]</f>
        <v>0</v>
      </c>
      <c r="C145" s="9">
        <f>SK[[#This Row],[MALZEME ]]</f>
        <v>0</v>
      </c>
      <c r="D145" s="9">
        <f>SK[[#This Row],[KALİTE]]</f>
        <v>0</v>
      </c>
      <c r="E145" s="11">
        <f>SK[[#This Row],[FİRE]]</f>
        <v>0</v>
      </c>
      <c r="F145" s="11">
        <f>SK[[#This Row],[EŞİT FİRE]]</f>
        <v>0</v>
      </c>
      <c r="G145" s="9">
        <f>IF(MOD(SK[[#This Row],[GEREKLİ ADET]],2)=0,SK[[#This Row],[GEREKLİ ADET]],0)</f>
        <v>0</v>
      </c>
      <c r="H145" s="9">
        <f>SK[[#This Row],[SONDAN KALAN FİRE]]</f>
        <v>0</v>
      </c>
    </row>
    <row r="146" spans="1:8" x14ac:dyDescent="0.3">
      <c r="A146" s="12">
        <f>SK[[#This Row],[TARİH]]</f>
        <v>0</v>
      </c>
      <c r="B146" s="9">
        <f>SK[[#This Row],[TÜR]]</f>
        <v>0</v>
      </c>
      <c r="C146" s="9">
        <f>SK[[#This Row],[MALZEME ]]</f>
        <v>0</v>
      </c>
      <c r="D146" s="9">
        <f>SK[[#This Row],[KALİTE]]</f>
        <v>0</v>
      </c>
      <c r="E146" s="11">
        <f>SK[[#This Row],[FİRE]]</f>
        <v>0</v>
      </c>
      <c r="F146" s="11">
        <f>SK[[#This Row],[EŞİT FİRE]]</f>
        <v>0</v>
      </c>
      <c r="G146" s="9">
        <f>IF(MOD(SK[[#This Row],[GEREKLİ ADET]],2)=0,SK[[#This Row],[GEREKLİ ADET]],0)</f>
        <v>0</v>
      </c>
      <c r="H146" s="9">
        <f>SK[[#This Row],[SONDAN KALAN FİRE]]</f>
        <v>0</v>
      </c>
    </row>
    <row r="147" spans="1:8" x14ac:dyDescent="0.3">
      <c r="A147" s="12">
        <f>SK[[#This Row],[TARİH]]</f>
        <v>0</v>
      </c>
      <c r="B147" s="9">
        <f>SK[[#This Row],[TÜR]]</f>
        <v>0</v>
      </c>
      <c r="C147" s="9">
        <f>SK[[#This Row],[MALZEME ]]</f>
        <v>0</v>
      </c>
      <c r="D147" s="9">
        <f>SK[[#This Row],[KALİTE]]</f>
        <v>0</v>
      </c>
      <c r="E147" s="11">
        <f>SK[[#This Row],[FİRE]]</f>
        <v>0</v>
      </c>
      <c r="F147" s="11">
        <f>SK[[#This Row],[EŞİT FİRE]]</f>
        <v>0</v>
      </c>
      <c r="G147" s="9">
        <f>IF(MOD(SK[[#This Row],[GEREKLİ ADET]],2)=0,SK[[#This Row],[GEREKLİ ADET]],0)</f>
        <v>0</v>
      </c>
      <c r="H147" s="9">
        <f>SK[[#This Row],[SONDAN KALAN FİRE]]</f>
        <v>0</v>
      </c>
    </row>
    <row r="148" spans="1:8" x14ac:dyDescent="0.3">
      <c r="A148" s="12">
        <f>SK[[#This Row],[TARİH]]</f>
        <v>0</v>
      </c>
      <c r="B148" s="9">
        <f>SK[[#This Row],[TÜR]]</f>
        <v>0</v>
      </c>
      <c r="C148" s="9">
        <f>SK[[#This Row],[MALZEME ]]</f>
        <v>0</v>
      </c>
      <c r="D148" s="9">
        <f>SK[[#This Row],[KALİTE]]</f>
        <v>0</v>
      </c>
      <c r="E148" s="11">
        <f>SK[[#This Row],[FİRE]]</f>
        <v>0</v>
      </c>
      <c r="F148" s="11">
        <f>SK[[#This Row],[EŞİT FİRE]]</f>
        <v>0</v>
      </c>
      <c r="G148" s="9">
        <f>IF(MOD(SK[[#This Row],[GEREKLİ ADET]],2)=0,SK[[#This Row],[GEREKLİ ADET]],0)</f>
        <v>0</v>
      </c>
      <c r="H148" s="9">
        <f>SK[[#This Row],[SONDAN KALAN FİRE]]</f>
        <v>0</v>
      </c>
    </row>
    <row r="149" spans="1:8" x14ac:dyDescent="0.3">
      <c r="A149" s="12">
        <f>SK[[#This Row],[TARİH]]</f>
        <v>0</v>
      </c>
      <c r="B149" s="9">
        <f>SK[[#This Row],[TÜR]]</f>
        <v>0</v>
      </c>
      <c r="C149" s="9">
        <f>SK[[#This Row],[MALZEME ]]</f>
        <v>0</v>
      </c>
      <c r="D149" s="9">
        <f>SK[[#This Row],[KALİTE]]</f>
        <v>0</v>
      </c>
      <c r="E149" s="11">
        <f>SK[[#This Row],[FİRE]]</f>
        <v>0</v>
      </c>
      <c r="F149" s="11">
        <f>SK[[#This Row],[EŞİT FİRE]]</f>
        <v>0</v>
      </c>
      <c r="G149" s="9">
        <f>IF(MOD(SK[[#This Row],[GEREKLİ ADET]],2)=0,SK[[#This Row],[GEREKLİ ADET]],0)</f>
        <v>0</v>
      </c>
      <c r="H149" s="9">
        <f>SK[[#This Row],[SONDAN KALAN FİRE]]</f>
        <v>0</v>
      </c>
    </row>
    <row r="150" spans="1:8" x14ac:dyDescent="0.3">
      <c r="A150" s="12">
        <f>SK[[#This Row],[TARİH]]</f>
        <v>0</v>
      </c>
      <c r="B150" s="9">
        <f>SK[[#This Row],[TÜR]]</f>
        <v>0</v>
      </c>
      <c r="C150" s="9">
        <f>SK[[#This Row],[MALZEME ]]</f>
        <v>0</v>
      </c>
      <c r="D150" s="9">
        <f>SK[[#This Row],[KALİTE]]</f>
        <v>0</v>
      </c>
      <c r="E150" s="11">
        <f>SK[[#This Row],[FİRE]]</f>
        <v>0</v>
      </c>
      <c r="F150" s="11">
        <f>SK[[#This Row],[EŞİT FİRE]]</f>
        <v>0</v>
      </c>
      <c r="G150" s="9">
        <f>IF(MOD(SK[[#This Row],[GEREKLİ ADET]],2)=0,SK[[#This Row],[GEREKLİ ADET]],0)</f>
        <v>0</v>
      </c>
      <c r="H150" s="9">
        <f>SK[[#This Row],[SONDAN KALAN FİRE]]</f>
        <v>0</v>
      </c>
    </row>
    <row r="151" spans="1:8" x14ac:dyDescent="0.3">
      <c r="A151" s="12">
        <f>SK[[#This Row],[TARİH]]</f>
        <v>0</v>
      </c>
      <c r="B151" s="9">
        <f>SK[[#This Row],[TÜR]]</f>
        <v>0</v>
      </c>
      <c r="C151" s="9">
        <f>SK[[#This Row],[MALZEME ]]</f>
        <v>0</v>
      </c>
      <c r="D151" s="9">
        <f>SK[[#This Row],[KALİTE]]</f>
        <v>0</v>
      </c>
      <c r="E151" s="11">
        <f>SK[[#This Row],[FİRE]]</f>
        <v>0</v>
      </c>
      <c r="F151" s="11">
        <f>SK[[#This Row],[EŞİT FİRE]]</f>
        <v>0</v>
      </c>
      <c r="G151" s="9">
        <f>IF(MOD(SK[[#This Row],[GEREKLİ ADET]],2)=0,SK[[#This Row],[GEREKLİ ADET]],0)</f>
        <v>0</v>
      </c>
      <c r="H151" s="9">
        <f>SK[[#This Row],[SONDAN KALAN FİRE]]</f>
        <v>0</v>
      </c>
    </row>
    <row r="152" spans="1:8" x14ac:dyDescent="0.3">
      <c r="A152" s="12">
        <f>SK[[#This Row],[TARİH]]</f>
        <v>0</v>
      </c>
      <c r="B152" s="9">
        <f>SK[[#This Row],[TÜR]]</f>
        <v>0</v>
      </c>
      <c r="C152" s="9">
        <f>SK[[#This Row],[MALZEME ]]</f>
        <v>0</v>
      </c>
      <c r="D152" s="9">
        <f>SK[[#This Row],[KALİTE]]</f>
        <v>0</v>
      </c>
      <c r="E152" s="11">
        <f>SK[[#This Row],[FİRE]]</f>
        <v>0</v>
      </c>
      <c r="F152" s="11">
        <f>SK[[#This Row],[EŞİT FİRE]]</f>
        <v>0</v>
      </c>
      <c r="G152" s="9">
        <f>IF(MOD(SK[[#This Row],[GEREKLİ ADET]],2)=0,SK[[#This Row],[GEREKLİ ADET]],0)</f>
        <v>0</v>
      </c>
      <c r="H152" s="9">
        <f>SK[[#This Row],[SONDAN KALAN FİRE]]</f>
        <v>0</v>
      </c>
    </row>
    <row r="153" spans="1:8" x14ac:dyDescent="0.3">
      <c r="A153" s="12">
        <f>SK[[#This Row],[TARİH]]</f>
        <v>0</v>
      </c>
      <c r="B153" s="9">
        <f>SK[[#This Row],[TÜR]]</f>
        <v>0</v>
      </c>
      <c r="C153" s="9">
        <f>SK[[#This Row],[MALZEME ]]</f>
        <v>0</v>
      </c>
      <c r="D153" s="9">
        <f>SK[[#This Row],[KALİTE]]</f>
        <v>0</v>
      </c>
      <c r="E153" s="11">
        <f>SK[[#This Row],[FİRE]]</f>
        <v>0</v>
      </c>
      <c r="F153" s="11">
        <f>SK[[#This Row],[EŞİT FİRE]]</f>
        <v>0</v>
      </c>
      <c r="G153" s="9">
        <f>IF(MOD(SK[[#This Row],[GEREKLİ ADET]],2)=0,SK[[#This Row],[GEREKLİ ADET]],0)</f>
        <v>0</v>
      </c>
      <c r="H153" s="9">
        <f>SK[[#This Row],[SONDAN KALAN FİRE]]</f>
        <v>0</v>
      </c>
    </row>
    <row r="154" spans="1:8" x14ac:dyDescent="0.3">
      <c r="A154" s="12">
        <f>SK[[#This Row],[TARİH]]</f>
        <v>0</v>
      </c>
      <c r="B154" s="9">
        <f>SK[[#This Row],[TÜR]]</f>
        <v>0</v>
      </c>
      <c r="C154" s="9">
        <f>SK[[#This Row],[MALZEME ]]</f>
        <v>0</v>
      </c>
      <c r="D154" s="9">
        <f>SK[[#This Row],[KALİTE]]</f>
        <v>0</v>
      </c>
      <c r="E154" s="11">
        <f>SK[[#This Row],[FİRE]]</f>
        <v>0</v>
      </c>
      <c r="F154" s="11">
        <f>SK[[#This Row],[EŞİT FİRE]]</f>
        <v>0</v>
      </c>
      <c r="G154" s="9">
        <f>IF(MOD(SK[[#This Row],[GEREKLİ ADET]],2)=0,SK[[#This Row],[GEREKLİ ADET]],0)</f>
        <v>0</v>
      </c>
      <c r="H154" s="9">
        <f>SK[[#This Row],[SONDAN KALAN FİRE]]</f>
        <v>0</v>
      </c>
    </row>
    <row r="155" spans="1:8" x14ac:dyDescent="0.3">
      <c r="A155" s="12">
        <f>SK[[#This Row],[TARİH]]</f>
        <v>0</v>
      </c>
      <c r="B155" s="9">
        <f>SK[[#This Row],[TÜR]]</f>
        <v>0</v>
      </c>
      <c r="C155" s="9">
        <f>SK[[#This Row],[MALZEME ]]</f>
        <v>0</v>
      </c>
      <c r="D155" s="9">
        <f>SK[[#This Row],[KALİTE]]</f>
        <v>0</v>
      </c>
      <c r="E155" s="11">
        <f>SK[[#This Row],[FİRE]]</f>
        <v>0</v>
      </c>
      <c r="F155" s="11">
        <f>SK[[#This Row],[EŞİT FİRE]]</f>
        <v>0</v>
      </c>
      <c r="G155" s="9">
        <f>IF(MOD(SK[[#This Row],[GEREKLİ ADET]],2)=0,SK[[#This Row],[GEREKLİ ADET]],0)</f>
        <v>0</v>
      </c>
      <c r="H155" s="9">
        <f>SK[[#This Row],[SONDAN KALAN FİRE]]</f>
        <v>0</v>
      </c>
    </row>
    <row r="156" spans="1:8" x14ac:dyDescent="0.3">
      <c r="A156" s="12">
        <f>SK[[#This Row],[TARİH]]</f>
        <v>0</v>
      </c>
      <c r="B156" s="9">
        <f>SK[[#This Row],[TÜR]]</f>
        <v>0</v>
      </c>
      <c r="C156" s="9">
        <f>SK[[#This Row],[MALZEME ]]</f>
        <v>0</v>
      </c>
      <c r="D156" s="9">
        <f>SK[[#This Row],[KALİTE]]</f>
        <v>0</v>
      </c>
      <c r="E156" s="11">
        <f>SK[[#This Row],[FİRE]]</f>
        <v>0</v>
      </c>
      <c r="F156" s="11">
        <f>SK[[#This Row],[EŞİT FİRE]]</f>
        <v>0</v>
      </c>
      <c r="G156" s="9">
        <f>IF(MOD(SK[[#This Row],[GEREKLİ ADET]],2)=0,SK[[#This Row],[GEREKLİ ADET]],0)</f>
        <v>0</v>
      </c>
      <c r="H156" s="9">
        <f>SK[[#This Row],[SONDAN KALAN FİRE]]</f>
        <v>0</v>
      </c>
    </row>
    <row r="157" spans="1:8" x14ac:dyDescent="0.3">
      <c r="A157" s="12">
        <f>SK[[#This Row],[TARİH]]</f>
        <v>0</v>
      </c>
      <c r="B157" s="9">
        <f>SK[[#This Row],[TÜR]]</f>
        <v>0</v>
      </c>
      <c r="C157" s="9">
        <f>SK[[#This Row],[MALZEME ]]</f>
        <v>0</v>
      </c>
      <c r="D157" s="9">
        <f>SK[[#This Row],[KALİTE]]</f>
        <v>0</v>
      </c>
      <c r="E157" s="11">
        <f>SK[[#This Row],[FİRE]]</f>
        <v>0</v>
      </c>
      <c r="F157" s="11">
        <f>SK[[#This Row],[EŞİT FİRE]]</f>
        <v>0</v>
      </c>
      <c r="G157" s="9">
        <f>IF(MOD(SK[[#This Row],[GEREKLİ ADET]],2)=0,SK[[#This Row],[GEREKLİ ADET]],0)</f>
        <v>0</v>
      </c>
      <c r="H157" s="9">
        <f>SK[[#This Row],[SONDAN KALAN FİRE]]</f>
        <v>0</v>
      </c>
    </row>
    <row r="158" spans="1:8" x14ac:dyDescent="0.3">
      <c r="A158" s="12">
        <f>SK[[#This Row],[TARİH]]</f>
        <v>0</v>
      </c>
      <c r="B158" s="9">
        <f>SK[[#This Row],[TÜR]]</f>
        <v>0</v>
      </c>
      <c r="C158" s="9">
        <f>SK[[#This Row],[MALZEME ]]</f>
        <v>0</v>
      </c>
      <c r="D158" s="9">
        <f>SK[[#This Row],[KALİTE]]</f>
        <v>0</v>
      </c>
      <c r="E158" s="11">
        <f>SK[[#This Row],[FİRE]]</f>
        <v>0</v>
      </c>
      <c r="F158" s="11">
        <f>SK[[#This Row],[EŞİT FİRE]]</f>
        <v>0</v>
      </c>
      <c r="G158" s="9">
        <f>IF(MOD(SK[[#This Row],[GEREKLİ ADET]],2)=0,SK[[#This Row],[GEREKLİ ADET]],0)</f>
        <v>0</v>
      </c>
      <c r="H158" s="9">
        <f>SK[[#This Row],[SONDAN KALAN FİRE]]</f>
        <v>0</v>
      </c>
    </row>
    <row r="159" spans="1:8" x14ac:dyDescent="0.3">
      <c r="A159" s="12">
        <f>SK[[#This Row],[TARİH]]</f>
        <v>0</v>
      </c>
      <c r="B159" s="9">
        <f>SK[[#This Row],[TÜR]]</f>
        <v>0</v>
      </c>
      <c r="C159" s="9">
        <f>SK[[#This Row],[MALZEME ]]</f>
        <v>0</v>
      </c>
      <c r="D159" s="9">
        <f>SK[[#This Row],[KALİTE]]</f>
        <v>0</v>
      </c>
      <c r="E159" s="11">
        <f>SK[[#This Row],[FİRE]]</f>
        <v>0</v>
      </c>
      <c r="F159" s="11">
        <f>SK[[#This Row],[EŞİT FİRE]]</f>
        <v>0</v>
      </c>
      <c r="G159" s="9">
        <f>IF(MOD(SK[[#This Row],[GEREKLİ ADET]],2)=0,SK[[#This Row],[GEREKLİ ADET]],0)</f>
        <v>0</v>
      </c>
      <c r="H159" s="9">
        <f>SK[[#This Row],[SONDAN KALAN FİRE]]</f>
        <v>0</v>
      </c>
    </row>
    <row r="160" spans="1:8" x14ac:dyDescent="0.3">
      <c r="A160" s="12">
        <f>SK[[#This Row],[TARİH]]</f>
        <v>0</v>
      </c>
      <c r="B160" s="9">
        <f>SK[[#This Row],[TÜR]]</f>
        <v>0</v>
      </c>
      <c r="C160" s="9">
        <f>SK[[#This Row],[MALZEME ]]</f>
        <v>0</v>
      </c>
      <c r="D160" s="9">
        <f>SK[[#This Row],[KALİTE]]</f>
        <v>0</v>
      </c>
      <c r="E160" s="11">
        <f>SK[[#This Row],[FİRE]]</f>
        <v>0</v>
      </c>
      <c r="F160" s="11">
        <f>SK[[#This Row],[EŞİT FİRE]]</f>
        <v>0</v>
      </c>
      <c r="G160" s="9">
        <f>IF(MOD(SK[[#This Row],[GEREKLİ ADET]],2)=0,SK[[#This Row],[GEREKLİ ADET]],0)</f>
        <v>0</v>
      </c>
      <c r="H160" s="9">
        <f>SK[[#This Row],[SONDAN KALAN FİRE]]</f>
        <v>0</v>
      </c>
    </row>
    <row r="161" spans="1:8" x14ac:dyDescent="0.3">
      <c r="A161" s="12">
        <f>SK[[#This Row],[TARİH]]</f>
        <v>0</v>
      </c>
      <c r="B161" s="9">
        <f>SK[[#This Row],[TÜR]]</f>
        <v>0</v>
      </c>
      <c r="C161" s="9">
        <f>SK[[#This Row],[MALZEME ]]</f>
        <v>0</v>
      </c>
      <c r="D161" s="9">
        <f>SK[[#This Row],[KALİTE]]</f>
        <v>0</v>
      </c>
      <c r="E161" s="11">
        <f>SK[[#This Row],[FİRE]]</f>
        <v>0</v>
      </c>
      <c r="F161" s="11">
        <f>SK[[#This Row],[EŞİT FİRE]]</f>
        <v>0</v>
      </c>
      <c r="G161" s="9">
        <f>IF(MOD(SK[[#This Row],[GEREKLİ ADET]],2)=0,SK[[#This Row],[GEREKLİ ADET]],0)</f>
        <v>0</v>
      </c>
      <c r="H161" s="9">
        <f>SK[[#This Row],[SONDAN KALAN FİRE]]</f>
        <v>0</v>
      </c>
    </row>
    <row r="162" spans="1:8" x14ac:dyDescent="0.3">
      <c r="A162" s="12">
        <f>SK[[#This Row],[TARİH]]</f>
        <v>0</v>
      </c>
      <c r="B162" s="9">
        <f>SK[[#This Row],[TÜR]]</f>
        <v>0</v>
      </c>
      <c r="C162" s="9">
        <f>SK[[#This Row],[MALZEME ]]</f>
        <v>0</v>
      </c>
      <c r="D162" s="9">
        <f>SK[[#This Row],[KALİTE]]</f>
        <v>0</v>
      </c>
      <c r="E162" s="11">
        <f>SK[[#This Row],[FİRE]]</f>
        <v>0</v>
      </c>
      <c r="F162" s="11">
        <f>SK[[#This Row],[EŞİT FİRE]]</f>
        <v>0</v>
      </c>
      <c r="G162" s="9">
        <f>IF(MOD(SK[[#This Row],[GEREKLİ ADET]],2)=0,SK[[#This Row],[GEREKLİ ADET]],0)</f>
        <v>0</v>
      </c>
      <c r="H162" s="9">
        <f>SK[[#This Row],[SONDAN KALAN FİRE]]</f>
        <v>0</v>
      </c>
    </row>
    <row r="163" spans="1:8" x14ac:dyDescent="0.3">
      <c r="A163" s="12">
        <f>SK[[#This Row],[TARİH]]</f>
        <v>0</v>
      </c>
      <c r="B163" s="9">
        <f>SK[[#This Row],[TÜR]]</f>
        <v>0</v>
      </c>
      <c r="C163" s="9">
        <f>SK[[#This Row],[MALZEME ]]</f>
        <v>0</v>
      </c>
      <c r="D163" s="9">
        <f>SK[[#This Row],[KALİTE]]</f>
        <v>0</v>
      </c>
      <c r="E163" s="11">
        <f>SK[[#This Row],[FİRE]]</f>
        <v>0</v>
      </c>
      <c r="F163" s="11">
        <f>SK[[#This Row],[EŞİT FİRE]]</f>
        <v>0</v>
      </c>
      <c r="G163" s="9">
        <f>IF(MOD(SK[[#This Row],[GEREKLİ ADET]],2)=0,SK[[#This Row],[GEREKLİ ADET]],0)</f>
        <v>0</v>
      </c>
      <c r="H163" s="9">
        <f>SK[[#This Row],[SONDAN KALAN FİRE]]</f>
        <v>0</v>
      </c>
    </row>
    <row r="164" spans="1:8" x14ac:dyDescent="0.3">
      <c r="A164" s="12">
        <f>SK[[#This Row],[TARİH]]</f>
        <v>0</v>
      </c>
      <c r="B164" s="9">
        <f>SK[[#This Row],[TÜR]]</f>
        <v>0</v>
      </c>
      <c r="C164" s="9">
        <f>SK[[#This Row],[MALZEME ]]</f>
        <v>0</v>
      </c>
      <c r="D164" s="9">
        <f>SK[[#This Row],[KALİTE]]</f>
        <v>0</v>
      </c>
      <c r="E164" s="11">
        <f>SK[[#This Row],[FİRE]]</f>
        <v>0</v>
      </c>
      <c r="F164" s="11">
        <f>SK[[#This Row],[EŞİT FİRE]]</f>
        <v>0</v>
      </c>
      <c r="G164" s="9">
        <f>IF(MOD(SK[[#This Row],[GEREKLİ ADET]],2)=0,SK[[#This Row],[GEREKLİ ADET]],0)</f>
        <v>0</v>
      </c>
      <c r="H164" s="9">
        <f>SK[[#This Row],[SONDAN KALAN FİRE]]</f>
        <v>0</v>
      </c>
    </row>
    <row r="165" spans="1:8" x14ac:dyDescent="0.3">
      <c r="A165" s="12">
        <f>SK[[#This Row],[TARİH]]</f>
        <v>0</v>
      </c>
      <c r="B165" s="9">
        <f>SK[[#This Row],[TÜR]]</f>
        <v>0</v>
      </c>
      <c r="C165" s="9">
        <f>SK[[#This Row],[MALZEME ]]</f>
        <v>0</v>
      </c>
      <c r="D165" s="9">
        <f>SK[[#This Row],[KALİTE]]</f>
        <v>0</v>
      </c>
      <c r="E165" s="11">
        <f>SK[[#This Row],[FİRE]]</f>
        <v>0</v>
      </c>
      <c r="F165" s="11">
        <f>SK[[#This Row],[EŞİT FİRE]]</f>
        <v>0</v>
      </c>
      <c r="G165" s="9">
        <f>IF(MOD(SK[[#This Row],[GEREKLİ ADET]],2)=0,SK[[#This Row],[GEREKLİ ADET]],0)</f>
        <v>0</v>
      </c>
      <c r="H165" s="9">
        <f>SK[[#This Row],[SONDAN KALAN FİRE]]</f>
        <v>0</v>
      </c>
    </row>
    <row r="166" spans="1:8" x14ac:dyDescent="0.3">
      <c r="A166" s="12">
        <f>SK[[#This Row],[TARİH]]</f>
        <v>0</v>
      </c>
      <c r="B166" s="9">
        <f>SK[[#This Row],[TÜR]]</f>
        <v>0</v>
      </c>
      <c r="C166" s="9">
        <f>SK[[#This Row],[MALZEME ]]</f>
        <v>0</v>
      </c>
      <c r="D166" s="9">
        <f>SK[[#This Row],[KALİTE]]</f>
        <v>0</v>
      </c>
      <c r="E166" s="11">
        <f>SK[[#This Row],[FİRE]]</f>
        <v>0</v>
      </c>
      <c r="F166" s="11">
        <f>SK[[#This Row],[EŞİT FİRE]]</f>
        <v>0</v>
      </c>
      <c r="G166" s="9">
        <f>IF(MOD(SK[[#This Row],[GEREKLİ ADET]],2)=0,SK[[#This Row],[GEREKLİ ADET]],0)</f>
        <v>0</v>
      </c>
      <c r="H166" s="9">
        <f>SK[[#This Row],[SONDAN KALAN FİRE]]</f>
        <v>0</v>
      </c>
    </row>
    <row r="167" spans="1:8" x14ac:dyDescent="0.3">
      <c r="A167" s="12">
        <f>SK[[#This Row],[TARİH]]</f>
        <v>0</v>
      </c>
      <c r="B167" s="9">
        <f>SK[[#This Row],[TÜR]]</f>
        <v>0</v>
      </c>
      <c r="C167" s="9">
        <f>SK[[#This Row],[MALZEME ]]</f>
        <v>0</v>
      </c>
      <c r="D167" s="9">
        <f>SK[[#This Row],[KALİTE]]</f>
        <v>0</v>
      </c>
      <c r="E167" s="11">
        <f>SK[[#This Row],[FİRE]]</f>
        <v>0</v>
      </c>
      <c r="F167" s="11">
        <f>SK[[#This Row],[EŞİT FİRE]]</f>
        <v>0</v>
      </c>
      <c r="G167" s="9">
        <f>IF(MOD(SK[[#This Row],[GEREKLİ ADET]],2)=0,SK[[#This Row],[GEREKLİ ADET]],0)</f>
        <v>0</v>
      </c>
      <c r="H167" s="9">
        <f>SK[[#This Row],[SONDAN KALAN FİRE]]</f>
        <v>0</v>
      </c>
    </row>
    <row r="168" spans="1:8" x14ac:dyDescent="0.3">
      <c r="A168" s="12">
        <f>SK[[#This Row],[TARİH]]</f>
        <v>0</v>
      </c>
      <c r="B168" s="9">
        <f>SK[[#This Row],[TÜR]]</f>
        <v>0</v>
      </c>
      <c r="C168" s="9">
        <f>SK[[#This Row],[MALZEME ]]</f>
        <v>0</v>
      </c>
      <c r="D168" s="9">
        <f>SK[[#This Row],[KALİTE]]</f>
        <v>0</v>
      </c>
      <c r="E168" s="11">
        <f>SK[[#This Row],[FİRE]]</f>
        <v>0</v>
      </c>
      <c r="F168" s="11">
        <f>SK[[#This Row],[EŞİT FİRE]]</f>
        <v>0</v>
      </c>
      <c r="G168" s="9">
        <f>IF(MOD(SK[[#This Row],[GEREKLİ ADET]],2)=0,SK[[#This Row],[GEREKLİ ADET]],0)</f>
        <v>0</v>
      </c>
      <c r="H168" s="9">
        <f>SK[[#This Row],[SONDAN KALAN FİRE]]</f>
        <v>0</v>
      </c>
    </row>
    <row r="169" spans="1:8" x14ac:dyDescent="0.3">
      <c r="A169" s="12">
        <f>SK[[#This Row],[TARİH]]</f>
        <v>0</v>
      </c>
      <c r="B169" s="9">
        <f>SK[[#This Row],[TÜR]]</f>
        <v>0</v>
      </c>
      <c r="C169" s="9">
        <f>SK[[#This Row],[MALZEME ]]</f>
        <v>0</v>
      </c>
      <c r="D169" s="9">
        <f>SK[[#This Row],[KALİTE]]</f>
        <v>0</v>
      </c>
      <c r="E169" s="11">
        <f>SK[[#This Row],[FİRE]]</f>
        <v>0</v>
      </c>
      <c r="F169" s="11">
        <f>SK[[#This Row],[EŞİT FİRE]]</f>
        <v>0</v>
      </c>
      <c r="G169" s="9">
        <f>IF(MOD(SK[[#This Row],[GEREKLİ ADET]],2)=0,SK[[#This Row],[GEREKLİ ADET]],0)</f>
        <v>0</v>
      </c>
      <c r="H169" s="9">
        <f>SK[[#This Row],[SONDAN KALAN FİRE]]</f>
        <v>0</v>
      </c>
    </row>
    <row r="170" spans="1:8" x14ac:dyDescent="0.3">
      <c r="A170" s="12">
        <f>SK[[#This Row],[TARİH]]</f>
        <v>0</v>
      </c>
      <c r="B170" s="9">
        <f>SK[[#This Row],[TÜR]]</f>
        <v>0</v>
      </c>
      <c r="C170" s="9">
        <f>SK[[#This Row],[MALZEME ]]</f>
        <v>0</v>
      </c>
      <c r="D170" s="9">
        <f>SK[[#This Row],[KALİTE]]</f>
        <v>0</v>
      </c>
      <c r="E170" s="11">
        <f>SK[[#This Row],[FİRE]]</f>
        <v>0</v>
      </c>
      <c r="F170" s="11">
        <f>SK[[#This Row],[EŞİT FİRE]]</f>
        <v>0</v>
      </c>
      <c r="G170" s="9">
        <f>IF(MOD(SK[[#This Row],[GEREKLİ ADET]],2)=0,SK[[#This Row],[GEREKLİ ADET]],0)</f>
        <v>0</v>
      </c>
      <c r="H170" s="9">
        <f>SK[[#This Row],[SONDAN KALAN FİRE]]</f>
        <v>0</v>
      </c>
    </row>
    <row r="171" spans="1:8" x14ac:dyDescent="0.3">
      <c r="A171" s="12">
        <f>SK[[#This Row],[TARİH]]</f>
        <v>0</v>
      </c>
      <c r="B171" s="9">
        <f>SK[[#This Row],[TÜR]]</f>
        <v>0</v>
      </c>
      <c r="C171" s="9">
        <f>SK[[#This Row],[MALZEME ]]</f>
        <v>0</v>
      </c>
      <c r="D171" s="9">
        <f>SK[[#This Row],[KALİTE]]</f>
        <v>0</v>
      </c>
      <c r="E171" s="11">
        <f>SK[[#This Row],[FİRE]]</f>
        <v>0</v>
      </c>
      <c r="F171" s="11">
        <f>SK[[#This Row],[EŞİT FİRE]]</f>
        <v>0</v>
      </c>
      <c r="G171" s="9">
        <f>IF(MOD(SK[[#This Row],[GEREKLİ ADET]],2)=0,SK[[#This Row],[GEREKLİ ADET]],0)</f>
        <v>0</v>
      </c>
      <c r="H171" s="9">
        <f>SK[[#This Row],[SONDAN KALAN FİRE]]</f>
        <v>0</v>
      </c>
    </row>
    <row r="172" spans="1:8" x14ac:dyDescent="0.3">
      <c r="A172" s="12">
        <f>SK[[#This Row],[TARİH]]</f>
        <v>0</v>
      </c>
      <c r="B172" s="9">
        <f>SK[[#This Row],[TÜR]]</f>
        <v>0</v>
      </c>
      <c r="C172" s="9">
        <f>SK[[#This Row],[MALZEME ]]</f>
        <v>0</v>
      </c>
      <c r="D172" s="9">
        <f>SK[[#This Row],[KALİTE]]</f>
        <v>0</v>
      </c>
      <c r="E172" s="11">
        <f>SK[[#This Row],[FİRE]]</f>
        <v>0</v>
      </c>
      <c r="F172" s="11">
        <f>SK[[#This Row],[EŞİT FİRE]]</f>
        <v>0</v>
      </c>
      <c r="G172" s="9">
        <f>IF(MOD(SK[[#This Row],[GEREKLİ ADET]],2)=0,SK[[#This Row],[GEREKLİ ADET]],0)</f>
        <v>0</v>
      </c>
      <c r="H172" s="9">
        <f>SK[[#This Row],[SONDAN KALAN FİRE]]</f>
        <v>0</v>
      </c>
    </row>
    <row r="173" spans="1:8" x14ac:dyDescent="0.3">
      <c r="A173" s="12">
        <f>SK[[#This Row],[TARİH]]</f>
        <v>0</v>
      </c>
      <c r="B173" s="9">
        <f>SK[[#This Row],[TÜR]]</f>
        <v>0</v>
      </c>
      <c r="C173" s="9">
        <f>SK[[#This Row],[MALZEME ]]</f>
        <v>0</v>
      </c>
      <c r="D173" s="9">
        <f>SK[[#This Row],[KALİTE]]</f>
        <v>0</v>
      </c>
      <c r="E173" s="11">
        <f>SK[[#This Row],[FİRE]]</f>
        <v>0</v>
      </c>
      <c r="F173" s="11">
        <f>SK[[#This Row],[EŞİT FİRE]]</f>
        <v>0</v>
      </c>
      <c r="G173" s="9">
        <f>IF(MOD(SK[[#This Row],[GEREKLİ ADET]],2)=0,SK[[#This Row],[GEREKLİ ADET]],0)</f>
        <v>0</v>
      </c>
      <c r="H173" s="9">
        <f>SK[[#This Row],[SONDAN KALAN FİRE]]</f>
        <v>0</v>
      </c>
    </row>
    <row r="174" spans="1:8" x14ac:dyDescent="0.3">
      <c r="A174" s="12">
        <f>SK[[#This Row],[TARİH]]</f>
        <v>0</v>
      </c>
      <c r="B174" s="9">
        <f>SK[[#This Row],[TÜR]]</f>
        <v>0</v>
      </c>
      <c r="C174" s="9">
        <f>SK[[#This Row],[MALZEME ]]</f>
        <v>0</v>
      </c>
      <c r="D174" s="9">
        <f>SK[[#This Row],[KALİTE]]</f>
        <v>0</v>
      </c>
      <c r="E174" s="11">
        <f>SK[[#This Row],[FİRE]]</f>
        <v>0</v>
      </c>
      <c r="F174" s="11">
        <f>SK[[#This Row],[EŞİT FİRE]]</f>
        <v>0</v>
      </c>
      <c r="G174" s="9">
        <f>IF(MOD(SK[[#This Row],[GEREKLİ ADET]],2)=0,SK[[#This Row],[GEREKLİ ADET]],0)</f>
        <v>0</v>
      </c>
      <c r="H174" s="9">
        <f>SK[[#This Row],[SONDAN KALAN FİRE]]</f>
        <v>0</v>
      </c>
    </row>
    <row r="175" spans="1:8" x14ac:dyDescent="0.3">
      <c r="A175" s="12">
        <f>SK[[#This Row],[TARİH]]</f>
        <v>0</v>
      </c>
      <c r="B175" s="9">
        <f>SK[[#This Row],[TÜR]]</f>
        <v>0</v>
      </c>
      <c r="C175" s="9">
        <f>SK[[#This Row],[MALZEME ]]</f>
        <v>0</v>
      </c>
      <c r="D175" s="9">
        <f>SK[[#This Row],[KALİTE]]</f>
        <v>0</v>
      </c>
      <c r="E175" s="11">
        <f>SK[[#This Row],[FİRE]]</f>
        <v>0</v>
      </c>
      <c r="F175" s="11">
        <f>SK[[#This Row],[EŞİT FİRE]]</f>
        <v>0</v>
      </c>
      <c r="G175" s="9">
        <f>IF(MOD(SK[[#This Row],[GEREKLİ ADET]],2)=0,SK[[#This Row],[GEREKLİ ADET]],0)</f>
        <v>0</v>
      </c>
      <c r="H175" s="9">
        <f>SK[[#This Row],[SONDAN KALAN FİRE]]</f>
        <v>0</v>
      </c>
    </row>
    <row r="176" spans="1:8" x14ac:dyDescent="0.3">
      <c r="A176" s="12">
        <f>SK[[#This Row],[TARİH]]</f>
        <v>0</v>
      </c>
      <c r="B176" s="9">
        <f>SK[[#This Row],[TÜR]]</f>
        <v>0</v>
      </c>
      <c r="C176" s="9">
        <f>SK[[#This Row],[MALZEME ]]</f>
        <v>0</v>
      </c>
      <c r="D176" s="9">
        <f>SK[[#This Row],[KALİTE]]</f>
        <v>0</v>
      </c>
      <c r="E176" s="11">
        <f>SK[[#This Row],[FİRE]]</f>
        <v>0</v>
      </c>
      <c r="F176" s="11">
        <f>SK[[#This Row],[EŞİT FİRE]]</f>
        <v>0</v>
      </c>
      <c r="G176" s="9">
        <f>IF(MOD(SK[[#This Row],[GEREKLİ ADET]],2)=0,SK[[#This Row],[GEREKLİ ADET]],0)</f>
        <v>0</v>
      </c>
      <c r="H176" s="9">
        <f>SK[[#This Row],[SONDAN KALAN FİRE]]</f>
        <v>0</v>
      </c>
    </row>
    <row r="177" spans="1:8" x14ac:dyDescent="0.3">
      <c r="A177" s="12">
        <f>SK[[#This Row],[TARİH]]</f>
        <v>0</v>
      </c>
      <c r="B177" s="9">
        <f>SK[[#This Row],[TÜR]]</f>
        <v>0</v>
      </c>
      <c r="C177" s="9">
        <f>SK[[#This Row],[MALZEME ]]</f>
        <v>0</v>
      </c>
      <c r="D177" s="9">
        <f>SK[[#This Row],[KALİTE]]</f>
        <v>0</v>
      </c>
      <c r="E177" s="11">
        <f>SK[[#This Row],[FİRE]]</f>
        <v>0</v>
      </c>
      <c r="F177" s="11">
        <f>SK[[#This Row],[EŞİT FİRE]]</f>
        <v>0</v>
      </c>
      <c r="G177" s="9">
        <f>IF(MOD(SK[[#This Row],[GEREKLİ ADET]],2)=0,SK[[#This Row],[GEREKLİ ADET]],0)</f>
        <v>0</v>
      </c>
      <c r="H177" s="9">
        <f>SK[[#This Row],[SONDAN KALAN FİRE]]</f>
        <v>0</v>
      </c>
    </row>
    <row r="178" spans="1:8" x14ac:dyDescent="0.3">
      <c r="A178" s="12">
        <f>SK[[#This Row],[TARİH]]</f>
        <v>0</v>
      </c>
      <c r="B178" s="9">
        <f>SK[[#This Row],[TÜR]]</f>
        <v>0</v>
      </c>
      <c r="C178" s="9">
        <f>SK[[#This Row],[MALZEME ]]</f>
        <v>0</v>
      </c>
      <c r="D178" s="9">
        <f>SK[[#This Row],[KALİTE]]</f>
        <v>0</v>
      </c>
      <c r="E178" s="11">
        <f>SK[[#This Row],[FİRE]]</f>
        <v>0</v>
      </c>
      <c r="F178" s="11">
        <f>SK[[#This Row],[EŞİT FİRE]]</f>
        <v>0</v>
      </c>
      <c r="G178" s="9">
        <f>IF(MOD(SK[[#This Row],[GEREKLİ ADET]],2)=0,SK[[#This Row],[GEREKLİ ADET]],0)</f>
        <v>0</v>
      </c>
      <c r="H178" s="9">
        <f>SK[[#This Row],[SONDAN KALAN FİRE]]</f>
        <v>0</v>
      </c>
    </row>
    <row r="179" spans="1:8" x14ac:dyDescent="0.3">
      <c r="A179" s="12">
        <f>SK[[#This Row],[TARİH]]</f>
        <v>0</v>
      </c>
      <c r="B179" s="9">
        <f>SK[[#This Row],[TÜR]]</f>
        <v>0</v>
      </c>
      <c r="C179" s="9">
        <f>SK[[#This Row],[MALZEME ]]</f>
        <v>0</v>
      </c>
      <c r="D179" s="9">
        <f>SK[[#This Row],[KALİTE]]</f>
        <v>0</v>
      </c>
      <c r="E179" s="11">
        <f>SK[[#This Row],[FİRE]]</f>
        <v>0</v>
      </c>
      <c r="F179" s="11">
        <f>SK[[#This Row],[EŞİT FİRE]]</f>
        <v>0</v>
      </c>
      <c r="G179" s="9">
        <f>IF(MOD(SK[[#This Row],[GEREKLİ ADET]],2)=0,SK[[#This Row],[GEREKLİ ADET]],0)</f>
        <v>0</v>
      </c>
      <c r="H179" s="9">
        <f>SK[[#This Row],[SONDAN KALAN FİRE]]</f>
        <v>0</v>
      </c>
    </row>
    <row r="180" spans="1:8" x14ac:dyDescent="0.3">
      <c r="A180" s="12">
        <f>SK[[#This Row],[TARİH]]</f>
        <v>0</v>
      </c>
      <c r="B180" s="9">
        <f>SK[[#This Row],[TÜR]]</f>
        <v>0</v>
      </c>
      <c r="C180" s="9">
        <f>SK[[#This Row],[MALZEME ]]</f>
        <v>0</v>
      </c>
      <c r="D180" s="9">
        <f>SK[[#This Row],[KALİTE]]</f>
        <v>0</v>
      </c>
      <c r="E180" s="11">
        <f>SK[[#This Row],[FİRE]]</f>
        <v>0</v>
      </c>
      <c r="F180" s="11">
        <f>SK[[#This Row],[EŞİT FİRE]]</f>
        <v>0</v>
      </c>
      <c r="G180" s="9">
        <f>IF(MOD(SK[[#This Row],[GEREKLİ ADET]],2)=0,SK[[#This Row],[GEREKLİ ADET]],0)</f>
        <v>0</v>
      </c>
      <c r="H180" s="9">
        <f>SK[[#This Row],[SONDAN KALAN FİRE]]</f>
        <v>0</v>
      </c>
    </row>
    <row r="181" spans="1:8" x14ac:dyDescent="0.3">
      <c r="A181" s="12">
        <f>SK[[#This Row],[TARİH]]</f>
        <v>0</v>
      </c>
      <c r="B181" s="9">
        <f>SK[[#This Row],[TÜR]]</f>
        <v>0</v>
      </c>
      <c r="C181" s="9">
        <f>SK[[#This Row],[MALZEME ]]</f>
        <v>0</v>
      </c>
      <c r="D181" s="9">
        <f>SK[[#This Row],[KALİTE]]</f>
        <v>0</v>
      </c>
      <c r="E181" s="11">
        <f>SK[[#This Row],[FİRE]]</f>
        <v>0</v>
      </c>
      <c r="F181" s="11">
        <f>SK[[#This Row],[EŞİT FİRE]]</f>
        <v>0</v>
      </c>
      <c r="G181" s="9">
        <f>IF(MOD(SK[[#This Row],[GEREKLİ ADET]],2)=0,SK[[#This Row],[GEREKLİ ADET]],0)</f>
        <v>0</v>
      </c>
      <c r="H181" s="9">
        <f>SK[[#This Row],[SONDAN KALAN FİRE]]</f>
        <v>0</v>
      </c>
    </row>
    <row r="182" spans="1:8" x14ac:dyDescent="0.3">
      <c r="A182" s="12">
        <f>SK[[#This Row],[TARİH]]</f>
        <v>0</v>
      </c>
      <c r="B182" s="9">
        <f>SK[[#This Row],[TÜR]]</f>
        <v>0</v>
      </c>
      <c r="C182" s="9">
        <f>SK[[#This Row],[MALZEME ]]</f>
        <v>0</v>
      </c>
      <c r="D182" s="9">
        <f>SK[[#This Row],[KALİTE]]</f>
        <v>0</v>
      </c>
      <c r="E182" s="11">
        <f>SK[[#This Row],[FİRE]]</f>
        <v>0</v>
      </c>
      <c r="F182" s="11">
        <f>SK[[#This Row],[EŞİT FİRE]]</f>
        <v>0</v>
      </c>
      <c r="G182" s="9">
        <f>IF(MOD(SK[[#This Row],[GEREKLİ ADET]],2)=0,SK[[#This Row],[GEREKLİ ADET]],0)</f>
        <v>0</v>
      </c>
      <c r="H182" s="9">
        <f>SK[[#This Row],[SONDAN KALAN FİRE]]</f>
        <v>0</v>
      </c>
    </row>
    <row r="183" spans="1:8" x14ac:dyDescent="0.3">
      <c r="A183" s="12">
        <f>SK[[#This Row],[TARİH]]</f>
        <v>0</v>
      </c>
      <c r="B183" s="9">
        <f>SK[[#This Row],[TÜR]]</f>
        <v>0</v>
      </c>
      <c r="C183" s="9">
        <f>SK[[#This Row],[MALZEME ]]</f>
        <v>0</v>
      </c>
      <c r="D183" s="9">
        <f>SK[[#This Row],[KALİTE]]</f>
        <v>0</v>
      </c>
      <c r="E183" s="11">
        <f>SK[[#This Row],[FİRE]]</f>
        <v>0</v>
      </c>
      <c r="F183" s="11">
        <f>SK[[#This Row],[EŞİT FİRE]]</f>
        <v>0</v>
      </c>
      <c r="G183" s="9">
        <f>IF(MOD(SK[[#This Row],[GEREKLİ ADET]],2)=0,SK[[#This Row],[GEREKLİ ADET]],0)</f>
        <v>0</v>
      </c>
      <c r="H183" s="9">
        <f>SK[[#This Row],[SONDAN KALAN FİRE]]</f>
        <v>0</v>
      </c>
    </row>
    <row r="184" spans="1:8" x14ac:dyDescent="0.3">
      <c r="A184" s="12">
        <f>SK[[#This Row],[TARİH]]</f>
        <v>0</v>
      </c>
      <c r="B184" s="9">
        <f>SK[[#This Row],[TÜR]]</f>
        <v>0</v>
      </c>
      <c r="C184" s="9">
        <f>SK[[#This Row],[MALZEME ]]</f>
        <v>0</v>
      </c>
      <c r="D184" s="9">
        <f>SK[[#This Row],[KALİTE]]</f>
        <v>0</v>
      </c>
      <c r="E184" s="11">
        <f>SK[[#This Row],[FİRE]]</f>
        <v>0</v>
      </c>
      <c r="F184" s="11">
        <f>SK[[#This Row],[EŞİT FİRE]]</f>
        <v>0</v>
      </c>
      <c r="G184" s="9">
        <f>IF(MOD(SK[[#This Row],[GEREKLİ ADET]],2)=0,SK[[#This Row],[GEREKLİ ADET]],0)</f>
        <v>0</v>
      </c>
      <c r="H184" s="9">
        <f>SK[[#This Row],[SONDAN KALAN FİRE]]</f>
        <v>0</v>
      </c>
    </row>
    <row r="185" spans="1:8" x14ac:dyDescent="0.3">
      <c r="A185" s="12">
        <f>SK[[#This Row],[TARİH]]</f>
        <v>0</v>
      </c>
      <c r="B185" s="9">
        <f>SK[[#This Row],[TÜR]]</f>
        <v>0</v>
      </c>
      <c r="C185" s="9">
        <f>SK[[#This Row],[MALZEME ]]</f>
        <v>0</v>
      </c>
      <c r="D185" s="9">
        <f>SK[[#This Row],[KALİTE]]</f>
        <v>0</v>
      </c>
      <c r="E185" s="11">
        <f>SK[[#This Row],[FİRE]]</f>
        <v>0</v>
      </c>
      <c r="F185" s="11">
        <f>SK[[#This Row],[EŞİT FİRE]]</f>
        <v>0</v>
      </c>
      <c r="G185" s="9">
        <f>IF(MOD(SK[[#This Row],[GEREKLİ ADET]],2)=0,SK[[#This Row],[GEREKLİ ADET]],0)</f>
        <v>0</v>
      </c>
      <c r="H185" s="9">
        <f>SK[[#This Row],[SONDAN KALAN FİRE]]</f>
        <v>0</v>
      </c>
    </row>
    <row r="186" spans="1:8" x14ac:dyDescent="0.3">
      <c r="A186" s="12">
        <f>SK[[#This Row],[TARİH]]</f>
        <v>0</v>
      </c>
      <c r="B186" s="9">
        <f>SK[[#This Row],[TÜR]]</f>
        <v>0</v>
      </c>
      <c r="C186" s="9">
        <f>SK[[#This Row],[MALZEME ]]</f>
        <v>0</v>
      </c>
      <c r="D186" s="9">
        <f>SK[[#This Row],[KALİTE]]</f>
        <v>0</v>
      </c>
      <c r="E186" s="11">
        <f>SK[[#This Row],[FİRE]]</f>
        <v>0</v>
      </c>
      <c r="F186" s="11">
        <f>SK[[#This Row],[EŞİT FİRE]]</f>
        <v>0</v>
      </c>
      <c r="G186" s="9">
        <f>IF(MOD(SK[[#This Row],[GEREKLİ ADET]],2)=0,SK[[#This Row],[GEREKLİ ADET]],0)</f>
        <v>0</v>
      </c>
      <c r="H186" s="9">
        <f>SK[[#This Row],[SONDAN KALAN FİRE]]</f>
        <v>0</v>
      </c>
    </row>
    <row r="187" spans="1:8" x14ac:dyDescent="0.3">
      <c r="A187" s="12">
        <f>SK[[#This Row],[TARİH]]</f>
        <v>0</v>
      </c>
      <c r="B187" s="9">
        <f>SK[[#This Row],[TÜR]]</f>
        <v>0</v>
      </c>
      <c r="C187" s="9">
        <f>SK[[#This Row],[MALZEME ]]</f>
        <v>0</v>
      </c>
      <c r="D187" s="9">
        <f>SK[[#This Row],[KALİTE]]</f>
        <v>0</v>
      </c>
      <c r="E187" s="11">
        <f>SK[[#This Row],[FİRE]]</f>
        <v>0</v>
      </c>
      <c r="F187" s="11">
        <f>SK[[#This Row],[EŞİT FİRE]]</f>
        <v>0</v>
      </c>
      <c r="G187" s="9">
        <f>IF(MOD(SK[[#This Row],[GEREKLİ ADET]],2)=0,SK[[#This Row],[GEREKLİ ADET]],0)</f>
        <v>0</v>
      </c>
      <c r="H187" s="9">
        <f>SK[[#This Row],[SONDAN KALAN FİRE]]</f>
        <v>0</v>
      </c>
    </row>
    <row r="188" spans="1:8" x14ac:dyDescent="0.3">
      <c r="A188" s="12">
        <f>SK[[#This Row],[TARİH]]</f>
        <v>0</v>
      </c>
      <c r="B188" s="9">
        <f>SK[[#This Row],[TÜR]]</f>
        <v>0</v>
      </c>
      <c r="C188" s="9">
        <f>SK[[#This Row],[MALZEME ]]</f>
        <v>0</v>
      </c>
      <c r="D188" s="9">
        <f>SK[[#This Row],[KALİTE]]</f>
        <v>0</v>
      </c>
      <c r="E188" s="11">
        <f>SK[[#This Row],[FİRE]]</f>
        <v>0</v>
      </c>
      <c r="F188" s="11">
        <f>SK[[#This Row],[EŞİT FİRE]]</f>
        <v>0</v>
      </c>
      <c r="G188" s="9">
        <f>IF(MOD(SK[[#This Row],[GEREKLİ ADET]],2)=0,SK[[#This Row],[GEREKLİ ADET]],0)</f>
        <v>0</v>
      </c>
      <c r="H188" s="9">
        <f>SK[[#This Row],[SONDAN KALAN FİRE]]</f>
        <v>0</v>
      </c>
    </row>
    <row r="189" spans="1:8" x14ac:dyDescent="0.3">
      <c r="A189" s="12">
        <f>SK[[#This Row],[TARİH]]</f>
        <v>0</v>
      </c>
      <c r="B189" s="9">
        <f>SK[[#This Row],[TÜR]]</f>
        <v>0</v>
      </c>
      <c r="C189" s="9">
        <f>SK[[#This Row],[MALZEME ]]</f>
        <v>0</v>
      </c>
      <c r="D189" s="9">
        <f>SK[[#This Row],[KALİTE]]</f>
        <v>0</v>
      </c>
      <c r="E189" s="11">
        <f>SK[[#This Row],[FİRE]]</f>
        <v>0</v>
      </c>
      <c r="F189" s="11">
        <f>SK[[#This Row],[EŞİT FİRE]]</f>
        <v>0</v>
      </c>
      <c r="G189" s="9">
        <f>IF(MOD(SK[[#This Row],[GEREKLİ ADET]],2)=0,SK[[#This Row],[GEREKLİ ADET]],0)</f>
        <v>0</v>
      </c>
      <c r="H189" s="9">
        <f>SK[[#This Row],[SONDAN KALAN FİRE]]</f>
        <v>0</v>
      </c>
    </row>
    <row r="190" spans="1:8" x14ac:dyDescent="0.3">
      <c r="A190" s="12">
        <f>SK[[#This Row],[TARİH]]</f>
        <v>0</v>
      </c>
      <c r="B190" s="9">
        <f>SK[[#This Row],[TÜR]]</f>
        <v>0</v>
      </c>
      <c r="C190" s="9">
        <f>SK[[#This Row],[MALZEME ]]</f>
        <v>0</v>
      </c>
      <c r="D190" s="9">
        <f>SK[[#This Row],[KALİTE]]</f>
        <v>0</v>
      </c>
      <c r="E190" s="11">
        <f>SK[[#This Row],[FİRE]]</f>
        <v>0</v>
      </c>
      <c r="F190" s="11">
        <f>SK[[#This Row],[EŞİT FİRE]]</f>
        <v>0</v>
      </c>
      <c r="G190" s="9">
        <f>IF(MOD(SK[[#This Row],[GEREKLİ ADET]],2)=0,SK[[#This Row],[GEREKLİ ADET]],0)</f>
        <v>0</v>
      </c>
      <c r="H190" s="9">
        <f>SK[[#This Row],[SONDAN KALAN FİRE]]</f>
        <v>0</v>
      </c>
    </row>
    <row r="191" spans="1:8" x14ac:dyDescent="0.3">
      <c r="A191" s="12">
        <f>SK[[#This Row],[TARİH]]</f>
        <v>0</v>
      </c>
      <c r="B191" s="9">
        <f>SK[[#This Row],[TÜR]]</f>
        <v>0</v>
      </c>
      <c r="C191" s="9">
        <f>SK[[#This Row],[MALZEME ]]</f>
        <v>0</v>
      </c>
      <c r="D191" s="9">
        <f>SK[[#This Row],[KALİTE]]</f>
        <v>0</v>
      </c>
      <c r="E191" s="11">
        <f>SK[[#This Row],[FİRE]]</f>
        <v>0</v>
      </c>
      <c r="F191" s="11">
        <f>SK[[#This Row],[EŞİT FİRE]]</f>
        <v>0</v>
      </c>
      <c r="G191" s="9">
        <f>IF(MOD(SK[[#This Row],[GEREKLİ ADET]],2)=0,SK[[#This Row],[GEREKLİ ADET]],0)</f>
        <v>0</v>
      </c>
      <c r="H191" s="9">
        <f>SK[[#This Row],[SONDAN KALAN FİRE]]</f>
        <v>0</v>
      </c>
    </row>
    <row r="192" spans="1:8" x14ac:dyDescent="0.3">
      <c r="A192" s="12">
        <f>SK[[#This Row],[TARİH]]</f>
        <v>0</v>
      </c>
      <c r="B192" s="9">
        <f>SK[[#This Row],[TÜR]]</f>
        <v>0</v>
      </c>
      <c r="C192" s="9">
        <f>SK[[#This Row],[MALZEME ]]</f>
        <v>0</v>
      </c>
      <c r="D192" s="9">
        <f>SK[[#This Row],[KALİTE]]</f>
        <v>0</v>
      </c>
      <c r="E192" s="11">
        <f>SK[[#This Row],[FİRE]]</f>
        <v>0</v>
      </c>
      <c r="F192" s="11">
        <f>SK[[#This Row],[EŞİT FİRE]]</f>
        <v>0</v>
      </c>
      <c r="G192" s="9">
        <f>IF(MOD(SK[[#This Row],[GEREKLİ ADET]],2)=0,SK[[#This Row],[GEREKLİ ADET]],0)</f>
        <v>0</v>
      </c>
      <c r="H192" s="9">
        <f>SK[[#This Row],[SONDAN KALAN FİRE]]</f>
        <v>0</v>
      </c>
    </row>
    <row r="193" spans="1:8" x14ac:dyDescent="0.3">
      <c r="A193" s="12">
        <f>SK[[#This Row],[TARİH]]</f>
        <v>0</v>
      </c>
      <c r="B193" s="9">
        <f>SK[[#This Row],[TÜR]]</f>
        <v>0</v>
      </c>
      <c r="C193" s="9">
        <f>SK[[#This Row],[MALZEME ]]</f>
        <v>0</v>
      </c>
      <c r="D193" s="9">
        <f>SK[[#This Row],[KALİTE]]</f>
        <v>0</v>
      </c>
      <c r="E193" s="11">
        <f>SK[[#This Row],[FİRE]]</f>
        <v>0</v>
      </c>
      <c r="F193" s="11">
        <f>SK[[#This Row],[EŞİT FİRE]]</f>
        <v>0</v>
      </c>
      <c r="G193" s="9">
        <f>IF(MOD(SK[[#This Row],[GEREKLİ ADET]],2)=0,SK[[#This Row],[GEREKLİ ADET]],0)</f>
        <v>0</v>
      </c>
      <c r="H193" s="9">
        <f>SK[[#This Row],[SONDAN KALAN FİRE]]</f>
        <v>0</v>
      </c>
    </row>
    <row r="194" spans="1:8" x14ac:dyDescent="0.3">
      <c r="A194" s="12">
        <f>SK[[#This Row],[TARİH]]</f>
        <v>0</v>
      </c>
      <c r="B194" s="9">
        <f>SK[[#This Row],[TÜR]]</f>
        <v>0</v>
      </c>
      <c r="C194" s="9">
        <f>SK[[#This Row],[MALZEME ]]</f>
        <v>0</v>
      </c>
      <c r="D194" s="9">
        <f>SK[[#This Row],[KALİTE]]</f>
        <v>0</v>
      </c>
      <c r="E194" s="11">
        <f>SK[[#This Row],[FİRE]]</f>
        <v>0</v>
      </c>
      <c r="F194" s="11">
        <f>SK[[#This Row],[EŞİT FİRE]]</f>
        <v>0</v>
      </c>
      <c r="G194" s="9">
        <f>IF(MOD(SK[[#This Row],[GEREKLİ ADET]],2)=0,SK[[#This Row],[GEREKLİ ADET]],0)</f>
        <v>0</v>
      </c>
      <c r="H194" s="9">
        <f>SK[[#This Row],[SONDAN KALAN FİRE]]</f>
        <v>0</v>
      </c>
    </row>
    <row r="195" spans="1:8" x14ac:dyDescent="0.3">
      <c r="A195" s="12">
        <f>SK[[#This Row],[TARİH]]</f>
        <v>0</v>
      </c>
      <c r="B195" s="9">
        <f>SK[[#This Row],[TÜR]]</f>
        <v>0</v>
      </c>
      <c r="C195" s="9">
        <f>SK[[#This Row],[MALZEME ]]</f>
        <v>0</v>
      </c>
      <c r="D195" s="9">
        <f>SK[[#This Row],[KALİTE]]</f>
        <v>0</v>
      </c>
      <c r="E195" s="11">
        <f>SK[[#This Row],[FİRE]]</f>
        <v>0</v>
      </c>
      <c r="F195" s="11">
        <f>SK[[#This Row],[EŞİT FİRE]]</f>
        <v>0</v>
      </c>
      <c r="G195" s="9">
        <f>IF(MOD(SK[[#This Row],[GEREKLİ ADET]],2)=0,SK[[#This Row],[GEREKLİ ADET]],0)</f>
        <v>0</v>
      </c>
      <c r="H195" s="9">
        <f>SK[[#This Row],[SONDAN KALAN FİRE]]</f>
        <v>0</v>
      </c>
    </row>
    <row r="196" spans="1:8" x14ac:dyDescent="0.3">
      <c r="A196" s="12">
        <f>SK[[#This Row],[TARİH]]</f>
        <v>0</v>
      </c>
      <c r="B196" s="9">
        <f>SK[[#This Row],[TÜR]]</f>
        <v>0</v>
      </c>
      <c r="C196" s="9">
        <f>SK[[#This Row],[MALZEME ]]</f>
        <v>0</v>
      </c>
      <c r="D196" s="9">
        <f>SK[[#This Row],[KALİTE]]</f>
        <v>0</v>
      </c>
      <c r="E196" s="11">
        <f>SK[[#This Row],[FİRE]]</f>
        <v>0</v>
      </c>
      <c r="F196" s="11">
        <f>SK[[#This Row],[EŞİT FİRE]]</f>
        <v>0</v>
      </c>
      <c r="G196" s="9">
        <f>IF(MOD(SK[[#This Row],[GEREKLİ ADET]],2)=0,SK[[#This Row],[GEREKLİ ADET]],0)</f>
        <v>0</v>
      </c>
      <c r="H196" s="9">
        <f>SK[[#This Row],[SONDAN KALAN FİRE]]</f>
        <v>0</v>
      </c>
    </row>
    <row r="197" spans="1:8" x14ac:dyDescent="0.3">
      <c r="A197" s="12">
        <f>SK[[#This Row],[TARİH]]</f>
        <v>0</v>
      </c>
      <c r="B197" s="9">
        <f>SK[[#This Row],[TÜR]]</f>
        <v>0</v>
      </c>
      <c r="C197" s="9">
        <f>SK[[#This Row],[MALZEME ]]</f>
        <v>0</v>
      </c>
      <c r="D197" s="9">
        <f>SK[[#This Row],[KALİTE]]</f>
        <v>0</v>
      </c>
      <c r="E197" s="11">
        <f>SK[[#This Row],[FİRE]]</f>
        <v>0</v>
      </c>
      <c r="F197" s="11">
        <f>SK[[#This Row],[EŞİT FİRE]]</f>
        <v>0</v>
      </c>
      <c r="G197" s="9">
        <f>IF(MOD(SK[[#This Row],[GEREKLİ ADET]],2)=0,SK[[#This Row],[GEREKLİ ADET]],0)</f>
        <v>0</v>
      </c>
      <c r="H197" s="9">
        <f>SK[[#This Row],[SONDAN KALAN FİRE]]</f>
        <v>0</v>
      </c>
    </row>
    <row r="198" spans="1:8" x14ac:dyDescent="0.3">
      <c r="A198" s="12">
        <f>SK[[#This Row],[TARİH]]</f>
        <v>0</v>
      </c>
      <c r="B198" s="9">
        <f>SK[[#This Row],[TÜR]]</f>
        <v>0</v>
      </c>
      <c r="C198" s="9">
        <f>SK[[#This Row],[MALZEME ]]</f>
        <v>0</v>
      </c>
      <c r="D198" s="9">
        <f>SK[[#This Row],[KALİTE]]</f>
        <v>0</v>
      </c>
      <c r="E198" s="11">
        <f>SK[[#This Row],[FİRE]]</f>
        <v>0</v>
      </c>
      <c r="F198" s="11">
        <f>SK[[#This Row],[EŞİT FİRE]]</f>
        <v>0</v>
      </c>
      <c r="G198" s="9">
        <f>IF(MOD(SK[[#This Row],[GEREKLİ ADET]],2)=0,SK[[#This Row],[GEREKLİ ADET]],0)</f>
        <v>0</v>
      </c>
      <c r="H198" s="9">
        <f>SK[[#This Row],[SONDAN KALAN FİRE]]</f>
        <v>0</v>
      </c>
    </row>
    <row r="199" spans="1:8" x14ac:dyDescent="0.3">
      <c r="A199" s="12">
        <f>SK[[#This Row],[TARİH]]</f>
        <v>0</v>
      </c>
      <c r="B199" s="9">
        <f>SK[[#This Row],[TÜR]]</f>
        <v>0</v>
      </c>
      <c r="C199" s="9">
        <f>SK[[#This Row],[MALZEME ]]</f>
        <v>0</v>
      </c>
      <c r="D199" s="9">
        <f>SK[[#This Row],[KALİTE]]</f>
        <v>0</v>
      </c>
      <c r="E199" s="11">
        <f>SK[[#This Row],[FİRE]]</f>
        <v>0</v>
      </c>
      <c r="F199" s="11">
        <f>SK[[#This Row],[EŞİT FİRE]]</f>
        <v>0</v>
      </c>
      <c r="G199" s="9">
        <f>IF(MOD(SK[[#This Row],[GEREKLİ ADET]],2)=0,SK[[#This Row],[GEREKLİ ADET]],0)</f>
        <v>0</v>
      </c>
      <c r="H199" s="9">
        <f>SK[[#This Row],[SONDAN KALAN FİRE]]</f>
        <v>0</v>
      </c>
    </row>
    <row r="200" spans="1:8" x14ac:dyDescent="0.3">
      <c r="A200" s="12">
        <f>SK[[#This Row],[TARİH]]</f>
        <v>0</v>
      </c>
      <c r="B200" s="9">
        <f>SK[[#This Row],[TÜR]]</f>
        <v>0</v>
      </c>
      <c r="C200" s="9">
        <f>SK[[#This Row],[MALZEME ]]</f>
        <v>0</v>
      </c>
      <c r="D200" s="9">
        <f>SK[[#This Row],[KALİTE]]</f>
        <v>0</v>
      </c>
      <c r="E200" s="11">
        <f>SK[[#This Row],[FİRE]]</f>
        <v>0</v>
      </c>
      <c r="F200" s="11">
        <f>SK[[#This Row],[EŞİT FİRE]]</f>
        <v>0</v>
      </c>
      <c r="G200" s="9">
        <f>IF(MOD(SK[[#This Row],[GEREKLİ ADET]],2)=0,SK[[#This Row],[GEREKLİ ADET]],0)</f>
        <v>0</v>
      </c>
      <c r="H200" s="9">
        <f>SK[[#This Row],[SONDAN KALAN FİRE]]</f>
        <v>0</v>
      </c>
    </row>
    <row r="201" spans="1:8" x14ac:dyDescent="0.3">
      <c r="A201" s="12">
        <f>SK[[#This Row],[TARİH]]</f>
        <v>0</v>
      </c>
      <c r="B201" s="9">
        <f>SK[[#This Row],[TÜR]]</f>
        <v>0</v>
      </c>
      <c r="C201" s="9">
        <f>SK[[#This Row],[MALZEME ]]</f>
        <v>0</v>
      </c>
      <c r="D201" s="9">
        <f>SK[[#This Row],[KALİTE]]</f>
        <v>0</v>
      </c>
      <c r="E201" s="11">
        <f>SK[[#This Row],[FİRE]]</f>
        <v>0</v>
      </c>
      <c r="F201" s="11">
        <f>SK[[#This Row],[EŞİT FİRE]]</f>
        <v>0</v>
      </c>
      <c r="G201" s="9">
        <f>IF(MOD(SK[[#This Row],[GEREKLİ ADET]],2)=0,SK[[#This Row],[GEREKLİ ADET]],0)</f>
        <v>0</v>
      </c>
      <c r="H201" s="9">
        <f>SK[[#This Row],[SONDAN KALAN FİRE]]</f>
        <v>0</v>
      </c>
    </row>
    <row r="202" spans="1:8" x14ac:dyDescent="0.3">
      <c r="A202" s="12">
        <f>SK[[#This Row],[TARİH]]</f>
        <v>0</v>
      </c>
      <c r="B202" s="9">
        <f>SK[[#This Row],[TÜR]]</f>
        <v>0</v>
      </c>
      <c r="C202" s="9">
        <f>SK[[#This Row],[MALZEME ]]</f>
        <v>0</v>
      </c>
      <c r="D202" s="9">
        <f>SK[[#This Row],[KALİTE]]</f>
        <v>0</v>
      </c>
      <c r="E202" s="11">
        <f>SK[[#This Row],[FİRE]]</f>
        <v>0</v>
      </c>
      <c r="F202" s="11">
        <f>SK[[#This Row],[EŞİT FİRE]]</f>
        <v>0</v>
      </c>
      <c r="G202" s="9">
        <f>IF(MOD(SK[[#This Row],[GEREKLİ ADET]],2)=0,SK[[#This Row],[GEREKLİ ADET]],0)</f>
        <v>0</v>
      </c>
      <c r="H202" s="9">
        <f>SK[[#This Row],[SONDAN KALAN FİRE]]</f>
        <v>0</v>
      </c>
    </row>
    <row r="203" spans="1:8" x14ac:dyDescent="0.3">
      <c r="A203" s="12">
        <f>SK[[#This Row],[TARİH]]</f>
        <v>0</v>
      </c>
      <c r="B203" s="9">
        <f>SK[[#This Row],[TÜR]]</f>
        <v>0</v>
      </c>
      <c r="C203" s="9">
        <f>SK[[#This Row],[MALZEME ]]</f>
        <v>0</v>
      </c>
      <c r="D203" s="9">
        <f>SK[[#This Row],[KALİTE]]</f>
        <v>0</v>
      </c>
      <c r="E203" s="11">
        <f>SK[[#This Row],[FİRE]]</f>
        <v>0</v>
      </c>
      <c r="F203" s="11">
        <f>SK[[#This Row],[EŞİT FİRE]]</f>
        <v>0</v>
      </c>
      <c r="G203" s="9">
        <f>IF(MOD(SK[[#This Row],[GEREKLİ ADET]],2)=0,SK[[#This Row],[GEREKLİ ADET]],0)</f>
        <v>0</v>
      </c>
      <c r="H203" s="9">
        <f>SK[[#This Row],[SONDAN KALAN FİRE]]</f>
        <v>0</v>
      </c>
    </row>
    <row r="204" spans="1:8" x14ac:dyDescent="0.3">
      <c r="A204" s="12">
        <f>SK[[#This Row],[TARİH]]</f>
        <v>0</v>
      </c>
      <c r="B204" s="9">
        <f>SK[[#This Row],[TÜR]]</f>
        <v>0</v>
      </c>
      <c r="C204" s="9">
        <f>SK[[#This Row],[MALZEME ]]</f>
        <v>0</v>
      </c>
      <c r="D204" s="9">
        <f>SK[[#This Row],[KALİTE]]</f>
        <v>0</v>
      </c>
      <c r="E204" s="11">
        <f>SK[[#This Row],[FİRE]]</f>
        <v>0</v>
      </c>
      <c r="F204" s="11">
        <f>SK[[#This Row],[EŞİT FİRE]]</f>
        <v>0</v>
      </c>
      <c r="G204" s="9">
        <f>IF(MOD(SK[[#This Row],[GEREKLİ ADET]],2)=0,SK[[#This Row],[GEREKLİ ADET]],0)</f>
        <v>0</v>
      </c>
      <c r="H204" s="9">
        <f>SK[[#This Row],[SONDAN KALAN FİRE]]</f>
        <v>0</v>
      </c>
    </row>
    <row r="205" spans="1:8" x14ac:dyDescent="0.3">
      <c r="A205" s="12">
        <f>SK[[#This Row],[TARİH]]</f>
        <v>0</v>
      </c>
      <c r="B205" s="9">
        <f>SK[[#This Row],[TÜR]]</f>
        <v>0</v>
      </c>
      <c r="C205" s="9">
        <f>SK[[#This Row],[MALZEME ]]</f>
        <v>0</v>
      </c>
      <c r="D205" s="9">
        <f>SK[[#This Row],[KALİTE]]</f>
        <v>0</v>
      </c>
      <c r="E205" s="11">
        <f>SK[[#This Row],[FİRE]]</f>
        <v>0</v>
      </c>
      <c r="F205" s="11">
        <f>SK[[#This Row],[EŞİT FİRE]]</f>
        <v>0</v>
      </c>
      <c r="G205" s="9">
        <f>IF(MOD(SK[[#This Row],[GEREKLİ ADET]],2)=0,SK[[#This Row],[GEREKLİ ADET]],0)</f>
        <v>0</v>
      </c>
      <c r="H205" s="9">
        <f>SK[[#This Row],[SONDAN KALAN FİRE]]</f>
        <v>0</v>
      </c>
    </row>
    <row r="206" spans="1:8" x14ac:dyDescent="0.3">
      <c r="A206" s="12">
        <f>SK[[#This Row],[TARİH]]</f>
        <v>0</v>
      </c>
      <c r="B206" s="9">
        <f>SK[[#This Row],[TÜR]]</f>
        <v>0</v>
      </c>
      <c r="C206" s="9">
        <f>SK[[#This Row],[MALZEME ]]</f>
        <v>0</v>
      </c>
      <c r="D206" s="9">
        <f>SK[[#This Row],[KALİTE]]</f>
        <v>0</v>
      </c>
      <c r="E206" s="11">
        <f>SK[[#This Row],[FİRE]]</f>
        <v>0</v>
      </c>
      <c r="F206" s="11">
        <f>SK[[#This Row],[EŞİT FİRE]]</f>
        <v>0</v>
      </c>
      <c r="G206" s="9">
        <f>IF(MOD(SK[[#This Row],[GEREKLİ ADET]],2)=0,SK[[#This Row],[GEREKLİ ADET]],0)</f>
        <v>0</v>
      </c>
      <c r="H206" s="9">
        <f>SK[[#This Row],[SONDAN KALAN FİRE]]</f>
        <v>0</v>
      </c>
    </row>
    <row r="207" spans="1:8" x14ac:dyDescent="0.3">
      <c r="A207" s="12">
        <f>SK[[#This Row],[TARİH]]</f>
        <v>0</v>
      </c>
      <c r="B207" s="9">
        <f>SK[[#This Row],[TÜR]]</f>
        <v>0</v>
      </c>
      <c r="C207" s="9">
        <f>SK[[#This Row],[MALZEME ]]</f>
        <v>0</v>
      </c>
      <c r="D207" s="9">
        <f>SK[[#This Row],[KALİTE]]</f>
        <v>0</v>
      </c>
      <c r="E207" s="11">
        <f>SK[[#This Row],[FİRE]]</f>
        <v>0</v>
      </c>
      <c r="F207" s="11">
        <f>SK[[#This Row],[EŞİT FİRE]]</f>
        <v>0</v>
      </c>
      <c r="G207" s="9">
        <f>IF(MOD(SK[[#This Row],[GEREKLİ ADET]],2)=0,SK[[#This Row],[GEREKLİ ADET]],0)</f>
        <v>0</v>
      </c>
      <c r="H207" s="9">
        <f>SK[[#This Row],[SONDAN KALAN FİRE]]</f>
        <v>0</v>
      </c>
    </row>
    <row r="208" spans="1:8" x14ac:dyDescent="0.3">
      <c r="A208" s="12">
        <f>SK[[#This Row],[TARİH]]</f>
        <v>0</v>
      </c>
      <c r="B208" s="9">
        <f>SK[[#This Row],[TÜR]]</f>
        <v>0</v>
      </c>
      <c r="C208" s="9">
        <f>SK[[#This Row],[MALZEME ]]</f>
        <v>0</v>
      </c>
      <c r="D208" s="9">
        <f>SK[[#This Row],[KALİTE]]</f>
        <v>0</v>
      </c>
      <c r="E208" s="11">
        <f>SK[[#This Row],[FİRE]]</f>
        <v>0</v>
      </c>
      <c r="F208" s="11">
        <f>SK[[#This Row],[EŞİT FİRE]]</f>
        <v>0</v>
      </c>
      <c r="G208" s="9">
        <f>IF(MOD(SK[[#This Row],[GEREKLİ ADET]],2)=0,SK[[#This Row],[GEREKLİ ADET]],0)</f>
        <v>0</v>
      </c>
      <c r="H208" s="9">
        <f>SK[[#This Row],[SONDAN KALAN FİRE]]</f>
        <v>0</v>
      </c>
    </row>
    <row r="209" spans="1:8" x14ac:dyDescent="0.3">
      <c r="A209" s="12">
        <f>SK[[#This Row],[TARİH]]</f>
        <v>0</v>
      </c>
      <c r="B209" s="9">
        <f>SK[[#This Row],[TÜR]]</f>
        <v>0</v>
      </c>
      <c r="C209" s="9">
        <f>SK[[#This Row],[MALZEME ]]</f>
        <v>0</v>
      </c>
      <c r="D209" s="9">
        <f>SK[[#This Row],[KALİTE]]</f>
        <v>0</v>
      </c>
      <c r="E209" s="11">
        <f>SK[[#This Row],[FİRE]]</f>
        <v>0</v>
      </c>
      <c r="F209" s="11">
        <f>SK[[#This Row],[EŞİT FİRE]]</f>
        <v>0</v>
      </c>
      <c r="G209" s="9">
        <f>IF(MOD(SK[[#This Row],[GEREKLİ ADET]],2)=0,SK[[#This Row],[GEREKLİ ADET]],0)</f>
        <v>0</v>
      </c>
      <c r="H209" s="9">
        <f>SK[[#This Row],[SONDAN KALAN FİRE]]</f>
        <v>0</v>
      </c>
    </row>
    <row r="210" spans="1:8" x14ac:dyDescent="0.3">
      <c r="A210" s="12">
        <f>SK[[#This Row],[TARİH]]</f>
        <v>0</v>
      </c>
      <c r="B210" s="9">
        <f>SK[[#This Row],[TÜR]]</f>
        <v>0</v>
      </c>
      <c r="C210" s="9">
        <f>SK[[#This Row],[MALZEME ]]</f>
        <v>0</v>
      </c>
      <c r="D210" s="9">
        <f>SK[[#This Row],[KALİTE]]</f>
        <v>0</v>
      </c>
      <c r="E210" s="11">
        <f>SK[[#This Row],[FİRE]]</f>
        <v>0</v>
      </c>
      <c r="F210" s="11">
        <f>SK[[#This Row],[EŞİT FİRE]]</f>
        <v>0</v>
      </c>
      <c r="G210" s="9">
        <f>IF(MOD(SK[[#This Row],[GEREKLİ ADET]],2)=0,SK[[#This Row],[GEREKLİ ADET]],0)</f>
        <v>0</v>
      </c>
      <c r="H210" s="9">
        <f>SK[[#This Row],[SONDAN KALAN FİRE]]</f>
        <v>0</v>
      </c>
    </row>
    <row r="211" spans="1:8" x14ac:dyDescent="0.3">
      <c r="A211" s="12">
        <f>SK[[#This Row],[TARİH]]</f>
        <v>0</v>
      </c>
      <c r="B211" s="9">
        <f>SK[[#This Row],[TÜR]]</f>
        <v>0</v>
      </c>
      <c r="C211" s="9">
        <f>SK[[#This Row],[MALZEME ]]</f>
        <v>0</v>
      </c>
      <c r="D211" s="9">
        <f>SK[[#This Row],[KALİTE]]</f>
        <v>0</v>
      </c>
      <c r="E211" s="11">
        <f>SK[[#This Row],[FİRE]]</f>
        <v>0</v>
      </c>
      <c r="F211" s="11">
        <f>SK[[#This Row],[EŞİT FİRE]]</f>
        <v>0</v>
      </c>
      <c r="G211" s="9">
        <f>IF(MOD(SK[[#This Row],[GEREKLİ ADET]],2)=0,SK[[#This Row],[GEREKLİ ADET]],0)</f>
        <v>0</v>
      </c>
      <c r="H211" s="9">
        <f>SK[[#This Row],[SONDAN KALAN FİRE]]</f>
        <v>0</v>
      </c>
    </row>
    <row r="212" spans="1:8" x14ac:dyDescent="0.3">
      <c r="A212" s="12">
        <f>SK[[#This Row],[TARİH]]</f>
        <v>0</v>
      </c>
      <c r="B212" s="9">
        <f>SK[[#This Row],[TÜR]]</f>
        <v>0</v>
      </c>
      <c r="C212" s="9">
        <f>SK[[#This Row],[MALZEME ]]</f>
        <v>0</v>
      </c>
      <c r="D212" s="9">
        <f>SK[[#This Row],[KALİTE]]</f>
        <v>0</v>
      </c>
      <c r="E212" s="11">
        <f>SK[[#This Row],[FİRE]]</f>
        <v>0</v>
      </c>
      <c r="F212" s="11">
        <f>SK[[#This Row],[EŞİT FİRE]]</f>
        <v>0</v>
      </c>
      <c r="G212" s="9">
        <f>IF(MOD(SK[[#This Row],[GEREKLİ ADET]],2)=0,SK[[#This Row],[GEREKLİ ADET]],0)</f>
        <v>0</v>
      </c>
      <c r="H212" s="9">
        <f>SK[[#This Row],[SONDAN KALAN FİRE]]</f>
        <v>0</v>
      </c>
    </row>
    <row r="213" spans="1:8" x14ac:dyDescent="0.3">
      <c r="A213" s="12">
        <f>SK[[#This Row],[TARİH]]</f>
        <v>0</v>
      </c>
      <c r="B213" s="9">
        <f>SK[[#This Row],[TÜR]]</f>
        <v>0</v>
      </c>
      <c r="C213" s="9">
        <f>SK[[#This Row],[MALZEME ]]</f>
        <v>0</v>
      </c>
      <c r="D213" s="9">
        <f>SK[[#This Row],[KALİTE]]</f>
        <v>0</v>
      </c>
      <c r="E213" s="11">
        <f>SK[[#This Row],[FİRE]]</f>
        <v>0</v>
      </c>
      <c r="F213" s="11">
        <f>SK[[#This Row],[EŞİT FİRE]]</f>
        <v>0</v>
      </c>
      <c r="G213" s="9">
        <f>IF(MOD(SK[[#This Row],[GEREKLİ ADET]],2)=0,SK[[#This Row],[GEREKLİ ADET]],0)</f>
        <v>0</v>
      </c>
      <c r="H213" s="9">
        <f>SK[[#This Row],[SONDAN KALAN FİRE]]</f>
        <v>0</v>
      </c>
    </row>
    <row r="214" spans="1:8" x14ac:dyDescent="0.3">
      <c r="A214" s="12">
        <f>SK[[#This Row],[TARİH]]</f>
        <v>0</v>
      </c>
      <c r="B214" s="9">
        <f>SK[[#This Row],[TÜR]]</f>
        <v>0</v>
      </c>
      <c r="C214" s="9">
        <f>SK[[#This Row],[MALZEME ]]</f>
        <v>0</v>
      </c>
      <c r="D214" s="9">
        <f>SK[[#This Row],[KALİTE]]</f>
        <v>0</v>
      </c>
      <c r="E214" s="11">
        <f>SK[[#This Row],[FİRE]]</f>
        <v>0</v>
      </c>
      <c r="F214" s="11">
        <f>SK[[#This Row],[EŞİT FİRE]]</f>
        <v>0</v>
      </c>
      <c r="G214" s="9">
        <f>IF(MOD(SK[[#This Row],[GEREKLİ ADET]],2)=0,SK[[#This Row],[GEREKLİ ADET]],0)</f>
        <v>0</v>
      </c>
      <c r="H214" s="9">
        <f>SK[[#This Row],[SONDAN KALAN FİRE]]</f>
        <v>0</v>
      </c>
    </row>
    <row r="215" spans="1:8" x14ac:dyDescent="0.3">
      <c r="A215" s="12">
        <f>SK[[#This Row],[TARİH]]</f>
        <v>0</v>
      </c>
      <c r="B215" s="9">
        <f>SK[[#This Row],[TÜR]]</f>
        <v>0</v>
      </c>
      <c r="C215" s="9">
        <f>SK[[#This Row],[MALZEME ]]</f>
        <v>0</v>
      </c>
      <c r="D215" s="9">
        <f>SK[[#This Row],[KALİTE]]</f>
        <v>0</v>
      </c>
      <c r="E215" s="11">
        <f>SK[[#This Row],[FİRE]]</f>
        <v>0</v>
      </c>
      <c r="F215" s="11">
        <f>SK[[#This Row],[EŞİT FİRE]]</f>
        <v>0</v>
      </c>
      <c r="G215" s="9">
        <f>IF(MOD(SK[[#This Row],[GEREKLİ ADET]],2)=0,SK[[#This Row],[GEREKLİ ADET]],0)</f>
        <v>0</v>
      </c>
      <c r="H215" s="9">
        <f>SK[[#This Row],[SONDAN KALAN FİRE]]</f>
        <v>0</v>
      </c>
    </row>
    <row r="216" spans="1:8" x14ac:dyDescent="0.3">
      <c r="A216" s="12">
        <f>SK[[#This Row],[TARİH]]</f>
        <v>0</v>
      </c>
      <c r="B216" s="9">
        <f>SK[[#This Row],[TÜR]]</f>
        <v>0</v>
      </c>
      <c r="C216" s="9">
        <f>SK[[#This Row],[MALZEME ]]</f>
        <v>0</v>
      </c>
      <c r="D216" s="9">
        <f>SK[[#This Row],[KALİTE]]</f>
        <v>0</v>
      </c>
      <c r="E216" s="11">
        <f>SK[[#This Row],[FİRE]]</f>
        <v>0</v>
      </c>
      <c r="F216" s="11">
        <f>SK[[#This Row],[EŞİT FİRE]]</f>
        <v>0</v>
      </c>
      <c r="G216" s="9">
        <f>IF(MOD(SK[[#This Row],[GEREKLİ ADET]],2)=0,SK[[#This Row],[GEREKLİ ADET]],0)</f>
        <v>0</v>
      </c>
      <c r="H216" s="9">
        <f>SK[[#This Row],[SONDAN KALAN FİRE]]</f>
        <v>0</v>
      </c>
    </row>
    <row r="217" spans="1:8" x14ac:dyDescent="0.3">
      <c r="A217" s="12">
        <f>SK[[#This Row],[TARİH]]</f>
        <v>0</v>
      </c>
      <c r="B217" s="9">
        <f>SK[[#This Row],[TÜR]]</f>
        <v>0</v>
      </c>
      <c r="C217" s="9">
        <f>SK[[#This Row],[MALZEME ]]</f>
        <v>0</v>
      </c>
      <c r="D217" s="9">
        <f>SK[[#This Row],[KALİTE]]</f>
        <v>0</v>
      </c>
      <c r="E217" s="11">
        <f>SK[[#This Row],[FİRE]]</f>
        <v>0</v>
      </c>
      <c r="F217" s="11">
        <f>SK[[#This Row],[EŞİT FİRE]]</f>
        <v>0</v>
      </c>
      <c r="G217" s="9">
        <f>IF(MOD(SK[[#This Row],[GEREKLİ ADET]],2)=0,SK[[#This Row],[GEREKLİ ADET]],0)</f>
        <v>0</v>
      </c>
      <c r="H217" s="9">
        <f>SK[[#This Row],[SONDAN KALAN FİRE]]</f>
        <v>0</v>
      </c>
    </row>
    <row r="218" spans="1:8" x14ac:dyDescent="0.3">
      <c r="A218" s="12">
        <f>SK[[#This Row],[TARİH]]</f>
        <v>0</v>
      </c>
      <c r="B218" s="9">
        <f>SK[[#This Row],[TÜR]]</f>
        <v>0</v>
      </c>
      <c r="C218" s="9">
        <f>SK[[#This Row],[MALZEME ]]</f>
        <v>0</v>
      </c>
      <c r="D218" s="9">
        <f>SK[[#This Row],[KALİTE]]</f>
        <v>0</v>
      </c>
      <c r="E218" s="11">
        <f>SK[[#This Row],[FİRE]]</f>
        <v>0</v>
      </c>
      <c r="F218" s="11">
        <f>SK[[#This Row],[EŞİT FİRE]]</f>
        <v>0</v>
      </c>
      <c r="G218" s="9">
        <f>IF(MOD(SK[[#This Row],[GEREKLİ ADET]],2)=0,SK[[#This Row],[GEREKLİ ADET]],0)</f>
        <v>0</v>
      </c>
      <c r="H218" s="9">
        <f>SK[[#This Row],[SONDAN KALAN FİRE]]</f>
        <v>0</v>
      </c>
    </row>
    <row r="219" spans="1:8" x14ac:dyDescent="0.3">
      <c r="A219" s="12">
        <f>SK[[#This Row],[TARİH]]</f>
        <v>0</v>
      </c>
      <c r="B219" s="9">
        <f>SK[[#This Row],[TÜR]]</f>
        <v>0</v>
      </c>
      <c r="C219" s="9">
        <f>SK[[#This Row],[MALZEME ]]</f>
        <v>0</v>
      </c>
      <c r="D219" s="9">
        <f>SK[[#This Row],[KALİTE]]</f>
        <v>0</v>
      </c>
      <c r="E219" s="11">
        <f>SK[[#This Row],[FİRE]]</f>
        <v>0</v>
      </c>
      <c r="F219" s="11">
        <f>SK[[#This Row],[EŞİT FİRE]]</f>
        <v>0</v>
      </c>
      <c r="G219" s="9">
        <f>IF(MOD(SK[[#This Row],[GEREKLİ ADET]],2)=0,SK[[#This Row],[GEREKLİ ADET]],0)</f>
        <v>0</v>
      </c>
      <c r="H219" s="9">
        <f>SK[[#This Row],[SONDAN KALAN FİRE]]</f>
        <v>0</v>
      </c>
    </row>
    <row r="220" spans="1:8" x14ac:dyDescent="0.3">
      <c r="A220" s="12">
        <f>SK[[#This Row],[TARİH]]</f>
        <v>0</v>
      </c>
      <c r="B220" s="9">
        <f>SK[[#This Row],[TÜR]]</f>
        <v>0</v>
      </c>
      <c r="C220" s="9">
        <f>SK[[#This Row],[MALZEME ]]</f>
        <v>0</v>
      </c>
      <c r="D220" s="9">
        <f>SK[[#This Row],[KALİTE]]</f>
        <v>0</v>
      </c>
      <c r="E220" s="11">
        <f>SK[[#This Row],[FİRE]]</f>
        <v>0</v>
      </c>
      <c r="F220" s="11">
        <f>SK[[#This Row],[EŞİT FİRE]]</f>
        <v>0</v>
      </c>
      <c r="G220" s="9">
        <f>IF(MOD(SK[[#This Row],[GEREKLİ ADET]],2)=0,SK[[#This Row],[GEREKLİ ADET]],0)</f>
        <v>0</v>
      </c>
      <c r="H220" s="9">
        <f>SK[[#This Row],[SONDAN KALAN FİRE]]</f>
        <v>0</v>
      </c>
    </row>
    <row r="221" spans="1:8" x14ac:dyDescent="0.3">
      <c r="A221" s="12">
        <f>SK[[#This Row],[TARİH]]</f>
        <v>0</v>
      </c>
      <c r="B221" s="9">
        <f>SK[[#This Row],[TÜR]]</f>
        <v>0</v>
      </c>
      <c r="C221" s="9">
        <f>SK[[#This Row],[MALZEME ]]</f>
        <v>0</v>
      </c>
      <c r="D221" s="9">
        <f>SK[[#This Row],[KALİTE]]</f>
        <v>0</v>
      </c>
      <c r="E221" s="11">
        <f>SK[[#This Row],[FİRE]]</f>
        <v>0</v>
      </c>
      <c r="F221" s="11">
        <f>SK[[#This Row],[EŞİT FİRE]]</f>
        <v>0</v>
      </c>
      <c r="G221" s="9">
        <f>IF(MOD(SK[[#This Row],[GEREKLİ ADET]],2)=0,SK[[#This Row],[GEREKLİ ADET]],0)</f>
        <v>0</v>
      </c>
      <c r="H221" s="9">
        <f>SK[[#This Row],[SONDAN KALAN FİRE]]</f>
        <v>0</v>
      </c>
    </row>
    <row r="222" spans="1:8" x14ac:dyDescent="0.3">
      <c r="A222" s="12">
        <f>SK[[#This Row],[TARİH]]</f>
        <v>0</v>
      </c>
      <c r="B222" s="9">
        <f>SK[[#This Row],[TÜR]]</f>
        <v>0</v>
      </c>
      <c r="C222" s="9">
        <f>SK[[#This Row],[MALZEME ]]</f>
        <v>0</v>
      </c>
      <c r="D222" s="9">
        <f>SK[[#This Row],[KALİTE]]</f>
        <v>0</v>
      </c>
      <c r="E222" s="11">
        <f>SK[[#This Row],[FİRE]]</f>
        <v>0</v>
      </c>
      <c r="F222" s="11">
        <f>SK[[#This Row],[EŞİT FİRE]]</f>
        <v>0</v>
      </c>
      <c r="G222" s="9">
        <f>IF(MOD(SK[[#This Row],[GEREKLİ ADET]],2)=0,SK[[#This Row],[GEREKLİ ADET]],0)</f>
        <v>0</v>
      </c>
      <c r="H222" s="9">
        <f>SK[[#This Row],[SONDAN KALAN FİRE]]</f>
        <v>0</v>
      </c>
    </row>
    <row r="223" spans="1:8" x14ac:dyDescent="0.3">
      <c r="A223" s="12">
        <f>SK[[#This Row],[TARİH]]</f>
        <v>0</v>
      </c>
      <c r="B223" s="9">
        <f>SK[[#This Row],[TÜR]]</f>
        <v>0</v>
      </c>
      <c r="C223" s="9">
        <f>SK[[#This Row],[MALZEME ]]</f>
        <v>0</v>
      </c>
      <c r="D223" s="9">
        <f>SK[[#This Row],[KALİTE]]</f>
        <v>0</v>
      </c>
      <c r="E223" s="11">
        <f>SK[[#This Row],[FİRE]]</f>
        <v>0</v>
      </c>
      <c r="F223" s="11">
        <f>SK[[#This Row],[EŞİT FİRE]]</f>
        <v>0</v>
      </c>
      <c r="G223" s="9">
        <f>IF(MOD(SK[[#This Row],[GEREKLİ ADET]],2)=0,SK[[#This Row],[GEREKLİ ADET]],0)</f>
        <v>0</v>
      </c>
      <c r="H223" s="9">
        <f>SK[[#This Row],[SONDAN KALAN FİRE]]</f>
        <v>0</v>
      </c>
    </row>
    <row r="224" spans="1:8" x14ac:dyDescent="0.3">
      <c r="A224" s="12">
        <f>SK[[#This Row],[TARİH]]</f>
        <v>0</v>
      </c>
      <c r="B224" s="9">
        <f>SK[[#This Row],[TÜR]]</f>
        <v>0</v>
      </c>
      <c r="C224" s="9">
        <f>SK[[#This Row],[MALZEME ]]</f>
        <v>0</v>
      </c>
      <c r="D224" s="9">
        <f>SK[[#This Row],[KALİTE]]</f>
        <v>0</v>
      </c>
      <c r="E224" s="11">
        <f>SK[[#This Row],[FİRE]]</f>
        <v>0</v>
      </c>
      <c r="F224" s="11">
        <f>SK[[#This Row],[EŞİT FİRE]]</f>
        <v>0</v>
      </c>
      <c r="G224" s="9">
        <f>IF(MOD(SK[[#This Row],[GEREKLİ ADET]],2)=0,SK[[#This Row],[GEREKLİ ADET]],0)</f>
        <v>0</v>
      </c>
      <c r="H224" s="9">
        <f>SK[[#This Row],[SONDAN KALAN FİRE]]</f>
        <v>0</v>
      </c>
    </row>
    <row r="225" spans="1:8" x14ac:dyDescent="0.3">
      <c r="A225" s="12">
        <f>SK[[#This Row],[TARİH]]</f>
        <v>0</v>
      </c>
      <c r="B225" s="9">
        <f>SK[[#This Row],[TÜR]]</f>
        <v>0</v>
      </c>
      <c r="C225" s="9">
        <f>SK[[#This Row],[MALZEME ]]</f>
        <v>0</v>
      </c>
      <c r="D225" s="9">
        <f>SK[[#This Row],[KALİTE]]</f>
        <v>0</v>
      </c>
      <c r="E225" s="11">
        <f>SK[[#This Row],[FİRE]]</f>
        <v>0</v>
      </c>
      <c r="F225" s="11">
        <f>SK[[#This Row],[EŞİT FİRE]]</f>
        <v>0</v>
      </c>
      <c r="G225" s="9">
        <f>IF(MOD(SK[[#This Row],[GEREKLİ ADET]],2)=0,SK[[#This Row],[GEREKLİ ADET]],0)</f>
        <v>0</v>
      </c>
      <c r="H225" s="9">
        <f>SK[[#This Row],[SONDAN KALAN FİRE]]</f>
        <v>0</v>
      </c>
    </row>
    <row r="226" spans="1:8" x14ac:dyDescent="0.3">
      <c r="A226" s="12">
        <f>SK[[#This Row],[TARİH]]</f>
        <v>0</v>
      </c>
      <c r="B226" s="9">
        <f>SK[[#This Row],[TÜR]]</f>
        <v>0</v>
      </c>
      <c r="C226" s="9">
        <f>SK[[#This Row],[MALZEME ]]</f>
        <v>0</v>
      </c>
      <c r="D226" s="9">
        <f>SK[[#This Row],[KALİTE]]</f>
        <v>0</v>
      </c>
      <c r="E226" s="11">
        <f>SK[[#This Row],[FİRE]]</f>
        <v>0</v>
      </c>
      <c r="F226" s="11">
        <f>SK[[#This Row],[EŞİT FİRE]]</f>
        <v>0</v>
      </c>
      <c r="G226" s="9">
        <f>IF(MOD(SK[[#This Row],[GEREKLİ ADET]],2)=0,SK[[#This Row],[GEREKLİ ADET]],0)</f>
        <v>0</v>
      </c>
      <c r="H226" s="9">
        <f>SK[[#This Row],[SONDAN KALAN FİRE]]</f>
        <v>0</v>
      </c>
    </row>
    <row r="227" spans="1:8" x14ac:dyDescent="0.3">
      <c r="A227" s="12">
        <f>SK[[#This Row],[TARİH]]</f>
        <v>0</v>
      </c>
      <c r="B227" s="9">
        <f>SK[[#This Row],[TÜR]]</f>
        <v>0</v>
      </c>
      <c r="C227" s="9">
        <f>SK[[#This Row],[MALZEME ]]</f>
        <v>0</v>
      </c>
      <c r="D227" s="9">
        <f>SK[[#This Row],[KALİTE]]</f>
        <v>0</v>
      </c>
      <c r="E227" s="11">
        <f>SK[[#This Row],[FİRE]]</f>
        <v>0</v>
      </c>
      <c r="F227" s="11">
        <f>SK[[#This Row],[EŞİT FİRE]]</f>
        <v>0</v>
      </c>
      <c r="G227" s="9">
        <f>IF(MOD(SK[[#This Row],[GEREKLİ ADET]],2)=0,SK[[#This Row],[GEREKLİ ADET]],0)</f>
        <v>0</v>
      </c>
      <c r="H227" s="9">
        <f>SK[[#This Row],[SONDAN KALAN FİRE]]</f>
        <v>0</v>
      </c>
    </row>
    <row r="228" spans="1:8" x14ac:dyDescent="0.3">
      <c r="A228" s="12">
        <f>SK[[#This Row],[TARİH]]</f>
        <v>0</v>
      </c>
      <c r="B228" s="9">
        <f>SK[[#This Row],[TÜR]]</f>
        <v>0</v>
      </c>
      <c r="C228" s="9">
        <f>SK[[#This Row],[MALZEME ]]</f>
        <v>0</v>
      </c>
      <c r="D228" s="9">
        <f>SK[[#This Row],[KALİTE]]</f>
        <v>0</v>
      </c>
      <c r="E228" s="11">
        <f>SK[[#This Row],[FİRE]]</f>
        <v>0</v>
      </c>
      <c r="F228" s="11">
        <f>SK[[#This Row],[EŞİT FİRE]]</f>
        <v>0</v>
      </c>
      <c r="G228" s="9">
        <f>IF(MOD(SK[[#This Row],[GEREKLİ ADET]],2)=0,SK[[#This Row],[GEREKLİ ADET]],0)</f>
        <v>0</v>
      </c>
      <c r="H228" s="9">
        <f>SK[[#This Row],[SONDAN KALAN FİRE]]</f>
        <v>0</v>
      </c>
    </row>
    <row r="229" spans="1:8" x14ac:dyDescent="0.3">
      <c r="A229" s="12">
        <f>SK[[#This Row],[TARİH]]</f>
        <v>0</v>
      </c>
      <c r="B229" s="9">
        <f>SK[[#This Row],[TÜR]]</f>
        <v>0</v>
      </c>
      <c r="C229" s="9">
        <f>SK[[#This Row],[MALZEME ]]</f>
        <v>0</v>
      </c>
      <c r="D229" s="9">
        <f>SK[[#This Row],[KALİTE]]</f>
        <v>0</v>
      </c>
      <c r="E229" s="11">
        <f>SK[[#This Row],[FİRE]]</f>
        <v>0</v>
      </c>
      <c r="F229" s="11">
        <f>SK[[#This Row],[EŞİT FİRE]]</f>
        <v>0</v>
      </c>
      <c r="G229" s="9">
        <f>IF(MOD(SK[[#This Row],[GEREKLİ ADET]],2)=0,SK[[#This Row],[GEREKLİ ADET]],0)</f>
        <v>0</v>
      </c>
      <c r="H229" s="9">
        <f>SK[[#This Row],[SONDAN KALAN FİRE]]</f>
        <v>0</v>
      </c>
    </row>
    <row r="230" spans="1:8" x14ac:dyDescent="0.3">
      <c r="A230" s="12">
        <f>SK[[#This Row],[TARİH]]</f>
        <v>0</v>
      </c>
      <c r="B230" s="9">
        <f>SK[[#This Row],[TÜR]]</f>
        <v>0</v>
      </c>
      <c r="C230" s="9">
        <f>SK[[#This Row],[MALZEME ]]</f>
        <v>0</v>
      </c>
      <c r="D230" s="9">
        <f>SK[[#This Row],[KALİTE]]</f>
        <v>0</v>
      </c>
      <c r="E230" s="11">
        <f>SK[[#This Row],[FİRE]]</f>
        <v>0</v>
      </c>
      <c r="F230" s="11">
        <f>SK[[#This Row],[EŞİT FİRE]]</f>
        <v>0</v>
      </c>
      <c r="G230" s="9">
        <f>IF(MOD(SK[[#This Row],[GEREKLİ ADET]],2)=0,SK[[#This Row],[GEREKLİ ADET]],0)</f>
        <v>0</v>
      </c>
      <c r="H230" s="9">
        <f>SK[[#This Row],[SONDAN KALAN FİRE]]</f>
        <v>0</v>
      </c>
    </row>
    <row r="231" spans="1:8" x14ac:dyDescent="0.3">
      <c r="A231" s="12">
        <f>SK[[#This Row],[TARİH]]</f>
        <v>0</v>
      </c>
      <c r="B231" s="9">
        <f>SK[[#This Row],[TÜR]]</f>
        <v>0</v>
      </c>
      <c r="C231" s="9">
        <f>SK[[#This Row],[MALZEME ]]</f>
        <v>0</v>
      </c>
      <c r="D231" s="9">
        <f>SK[[#This Row],[KALİTE]]</f>
        <v>0</v>
      </c>
      <c r="E231" s="11">
        <f>SK[[#This Row],[FİRE]]</f>
        <v>0</v>
      </c>
      <c r="F231" s="11">
        <f>SK[[#This Row],[EŞİT FİRE]]</f>
        <v>0</v>
      </c>
      <c r="G231" s="9">
        <f>IF(MOD(SK[[#This Row],[GEREKLİ ADET]],2)=0,SK[[#This Row],[GEREKLİ ADET]],0)</f>
        <v>0</v>
      </c>
      <c r="H231" s="9">
        <f>SK[[#This Row],[SONDAN KALAN FİRE]]</f>
        <v>0</v>
      </c>
    </row>
    <row r="232" spans="1:8" x14ac:dyDescent="0.3">
      <c r="A232" s="12">
        <f>SK[[#This Row],[TARİH]]</f>
        <v>0</v>
      </c>
      <c r="B232" s="9">
        <f>SK[[#This Row],[TÜR]]</f>
        <v>0</v>
      </c>
      <c r="C232" s="9">
        <f>SK[[#This Row],[MALZEME ]]</f>
        <v>0</v>
      </c>
      <c r="D232" s="9">
        <f>SK[[#This Row],[KALİTE]]</f>
        <v>0</v>
      </c>
      <c r="E232" s="11">
        <f>SK[[#This Row],[FİRE]]</f>
        <v>0</v>
      </c>
      <c r="F232" s="11">
        <f>SK[[#This Row],[EŞİT FİRE]]</f>
        <v>0</v>
      </c>
      <c r="G232" s="9">
        <f>IF(MOD(SK[[#This Row],[GEREKLİ ADET]],2)=0,SK[[#This Row],[GEREKLİ ADET]],0)</f>
        <v>0</v>
      </c>
      <c r="H232" s="9">
        <f>SK[[#This Row],[SONDAN KALAN FİRE]]</f>
        <v>0</v>
      </c>
    </row>
    <row r="233" spans="1:8" x14ac:dyDescent="0.3">
      <c r="A233" s="12">
        <f>SK[[#This Row],[TARİH]]</f>
        <v>0</v>
      </c>
      <c r="B233" s="9">
        <f>SK[[#This Row],[TÜR]]</f>
        <v>0</v>
      </c>
      <c r="C233" s="9">
        <f>SK[[#This Row],[MALZEME ]]</f>
        <v>0</v>
      </c>
      <c r="D233" s="9">
        <f>SK[[#This Row],[KALİTE]]</f>
        <v>0</v>
      </c>
      <c r="E233" s="11">
        <f>SK[[#This Row],[FİRE]]</f>
        <v>0</v>
      </c>
      <c r="F233" s="11">
        <f>SK[[#This Row],[EŞİT FİRE]]</f>
        <v>0</v>
      </c>
      <c r="G233" s="9">
        <f>IF(MOD(SK[[#This Row],[GEREKLİ ADET]],2)=0,SK[[#This Row],[GEREKLİ ADET]],0)</f>
        <v>0</v>
      </c>
      <c r="H233" s="9">
        <f>SK[[#This Row],[SONDAN KALAN FİRE]]</f>
        <v>0</v>
      </c>
    </row>
    <row r="234" spans="1:8" x14ac:dyDescent="0.3">
      <c r="A234" s="12">
        <f>SK[[#This Row],[TARİH]]</f>
        <v>0</v>
      </c>
      <c r="B234" s="9">
        <f>SK[[#This Row],[TÜR]]</f>
        <v>0</v>
      </c>
      <c r="C234" s="9">
        <f>SK[[#This Row],[MALZEME ]]</f>
        <v>0</v>
      </c>
      <c r="D234" s="9">
        <f>SK[[#This Row],[KALİTE]]</f>
        <v>0</v>
      </c>
      <c r="E234" s="11">
        <f>SK[[#This Row],[FİRE]]</f>
        <v>0</v>
      </c>
      <c r="F234" s="11">
        <f>SK[[#This Row],[EŞİT FİRE]]</f>
        <v>0</v>
      </c>
      <c r="G234" s="9">
        <f>IF(MOD(SK[[#This Row],[GEREKLİ ADET]],2)=0,SK[[#This Row],[GEREKLİ ADET]],0)</f>
        <v>0</v>
      </c>
      <c r="H234" s="9">
        <f>SK[[#This Row],[SONDAN KALAN FİRE]]</f>
        <v>0</v>
      </c>
    </row>
    <row r="235" spans="1:8" x14ac:dyDescent="0.3">
      <c r="A235" s="12">
        <f>SK[[#This Row],[TARİH]]</f>
        <v>0</v>
      </c>
      <c r="B235" s="9">
        <f>SK[[#This Row],[TÜR]]</f>
        <v>0</v>
      </c>
      <c r="C235" s="9">
        <f>SK[[#This Row],[MALZEME ]]</f>
        <v>0</v>
      </c>
      <c r="D235" s="9">
        <f>SK[[#This Row],[KALİTE]]</f>
        <v>0</v>
      </c>
      <c r="E235" s="11">
        <f>SK[[#This Row],[FİRE]]</f>
        <v>0</v>
      </c>
      <c r="F235" s="11">
        <f>SK[[#This Row],[EŞİT FİRE]]</f>
        <v>0</v>
      </c>
      <c r="G235" s="9">
        <f>IF(MOD(SK[[#This Row],[GEREKLİ ADET]],2)=0,SK[[#This Row],[GEREKLİ ADET]],0)</f>
        <v>0</v>
      </c>
      <c r="H235" s="9">
        <f>SK[[#This Row],[SONDAN KALAN FİRE]]</f>
        <v>0</v>
      </c>
    </row>
    <row r="236" spans="1:8" x14ac:dyDescent="0.3">
      <c r="A236" s="12">
        <f>SK[[#This Row],[TARİH]]</f>
        <v>0</v>
      </c>
      <c r="B236" s="9">
        <f>SK[[#This Row],[TÜR]]</f>
        <v>0</v>
      </c>
      <c r="C236" s="9">
        <f>SK[[#This Row],[MALZEME ]]</f>
        <v>0</v>
      </c>
      <c r="D236" s="9">
        <f>SK[[#This Row],[KALİTE]]</f>
        <v>0</v>
      </c>
      <c r="E236" s="11">
        <f>SK[[#This Row],[FİRE]]</f>
        <v>0</v>
      </c>
      <c r="F236" s="11">
        <f>SK[[#This Row],[EŞİT FİRE]]</f>
        <v>0</v>
      </c>
      <c r="G236" s="9">
        <f>IF(MOD(SK[[#This Row],[GEREKLİ ADET]],2)=0,SK[[#This Row],[GEREKLİ ADET]],0)</f>
        <v>0</v>
      </c>
      <c r="H236" s="9">
        <f>SK[[#This Row],[SONDAN KALAN FİRE]]</f>
        <v>0</v>
      </c>
    </row>
    <row r="237" spans="1:8" x14ac:dyDescent="0.3">
      <c r="A237" s="12">
        <f>SK[[#This Row],[TARİH]]</f>
        <v>0</v>
      </c>
      <c r="B237" s="9">
        <f>SK[[#This Row],[TÜR]]</f>
        <v>0</v>
      </c>
      <c r="C237" s="9">
        <f>SK[[#This Row],[MALZEME ]]</f>
        <v>0</v>
      </c>
      <c r="D237" s="9">
        <f>SK[[#This Row],[KALİTE]]</f>
        <v>0</v>
      </c>
      <c r="E237" s="11">
        <f>SK[[#This Row],[FİRE]]</f>
        <v>0</v>
      </c>
      <c r="F237" s="11">
        <f>SK[[#This Row],[EŞİT FİRE]]</f>
        <v>0</v>
      </c>
      <c r="G237" s="9">
        <f>IF(MOD(SK[[#This Row],[GEREKLİ ADET]],2)=0,SK[[#This Row],[GEREKLİ ADET]],0)</f>
        <v>0</v>
      </c>
      <c r="H237" s="9">
        <f>SK[[#This Row],[SONDAN KALAN FİRE]]</f>
        <v>0</v>
      </c>
    </row>
    <row r="238" spans="1:8" x14ac:dyDescent="0.3">
      <c r="A238" s="12">
        <f>SK[[#This Row],[TARİH]]</f>
        <v>0</v>
      </c>
      <c r="B238" s="9">
        <f>SK[[#This Row],[TÜR]]</f>
        <v>0</v>
      </c>
      <c r="C238" s="9">
        <f>SK[[#This Row],[MALZEME ]]</f>
        <v>0</v>
      </c>
      <c r="D238" s="9">
        <f>SK[[#This Row],[KALİTE]]</f>
        <v>0</v>
      </c>
      <c r="E238" s="11">
        <f>SK[[#This Row],[FİRE]]</f>
        <v>0</v>
      </c>
      <c r="F238" s="11">
        <f>SK[[#This Row],[EŞİT FİRE]]</f>
        <v>0</v>
      </c>
      <c r="G238" s="9">
        <f>IF(MOD(SK[[#This Row],[GEREKLİ ADET]],2)=0,SK[[#This Row],[GEREKLİ ADET]],0)</f>
        <v>0</v>
      </c>
      <c r="H238" s="9">
        <f>SK[[#This Row],[SONDAN KALAN FİRE]]</f>
        <v>0</v>
      </c>
    </row>
    <row r="239" spans="1:8" x14ac:dyDescent="0.3">
      <c r="A239" s="12">
        <f>SK[[#This Row],[TARİH]]</f>
        <v>0</v>
      </c>
      <c r="B239" s="9">
        <f>SK[[#This Row],[TÜR]]</f>
        <v>0</v>
      </c>
      <c r="C239" s="9">
        <f>SK[[#This Row],[MALZEME ]]</f>
        <v>0</v>
      </c>
      <c r="D239" s="9">
        <f>SK[[#This Row],[KALİTE]]</f>
        <v>0</v>
      </c>
      <c r="E239" s="11">
        <f>SK[[#This Row],[FİRE]]</f>
        <v>0</v>
      </c>
      <c r="F239" s="11">
        <f>SK[[#This Row],[EŞİT FİRE]]</f>
        <v>0</v>
      </c>
      <c r="G239" s="9">
        <f>IF(MOD(SK[[#This Row],[GEREKLİ ADET]],2)=0,SK[[#This Row],[GEREKLİ ADET]],0)</f>
        <v>0</v>
      </c>
      <c r="H239" s="9">
        <f>SK[[#This Row],[SONDAN KALAN FİRE]]</f>
        <v>0</v>
      </c>
    </row>
    <row r="240" spans="1:8" x14ac:dyDescent="0.3">
      <c r="A240" s="12">
        <f>SK[[#This Row],[TARİH]]</f>
        <v>0</v>
      </c>
      <c r="B240" s="9">
        <f>SK[[#This Row],[TÜR]]</f>
        <v>0</v>
      </c>
      <c r="C240" s="9">
        <f>SK[[#This Row],[MALZEME ]]</f>
        <v>0</v>
      </c>
      <c r="D240" s="9">
        <f>SK[[#This Row],[KALİTE]]</f>
        <v>0</v>
      </c>
      <c r="E240" s="11">
        <f>SK[[#This Row],[FİRE]]</f>
        <v>0</v>
      </c>
      <c r="F240" s="11">
        <f>SK[[#This Row],[EŞİT FİRE]]</f>
        <v>0</v>
      </c>
      <c r="G240" s="9">
        <f>IF(MOD(SK[[#This Row],[GEREKLİ ADET]],2)=0,SK[[#This Row],[GEREKLİ ADET]],0)</f>
        <v>0</v>
      </c>
      <c r="H240" s="9">
        <f>SK[[#This Row],[SONDAN KALAN FİRE]]</f>
        <v>0</v>
      </c>
    </row>
    <row r="241" spans="1:8" x14ac:dyDescent="0.3">
      <c r="A241" s="12">
        <f>SK[[#This Row],[TARİH]]</f>
        <v>0</v>
      </c>
      <c r="B241" s="9">
        <f>SK[[#This Row],[TÜR]]</f>
        <v>0</v>
      </c>
      <c r="C241" s="9">
        <f>SK[[#This Row],[MALZEME ]]</f>
        <v>0</v>
      </c>
      <c r="D241" s="9">
        <f>SK[[#This Row],[KALİTE]]</f>
        <v>0</v>
      </c>
      <c r="E241" s="11">
        <f>SK[[#This Row],[FİRE]]</f>
        <v>0</v>
      </c>
      <c r="F241" s="11">
        <f>SK[[#This Row],[EŞİT FİRE]]</f>
        <v>0</v>
      </c>
      <c r="G241" s="9">
        <f>IF(MOD(SK[[#This Row],[GEREKLİ ADET]],2)=0,SK[[#This Row],[GEREKLİ ADET]],0)</f>
        <v>0</v>
      </c>
      <c r="H241" s="9">
        <f>SK[[#This Row],[SONDAN KALAN FİRE]]</f>
        <v>0</v>
      </c>
    </row>
    <row r="242" spans="1:8" x14ac:dyDescent="0.3">
      <c r="A242" s="12">
        <f>SK[[#This Row],[TARİH]]</f>
        <v>0</v>
      </c>
      <c r="B242" s="9">
        <f>SK[[#This Row],[TÜR]]</f>
        <v>0</v>
      </c>
      <c r="C242" s="9">
        <f>SK[[#This Row],[MALZEME ]]</f>
        <v>0</v>
      </c>
      <c r="D242" s="9">
        <f>SK[[#This Row],[KALİTE]]</f>
        <v>0</v>
      </c>
      <c r="E242" s="11">
        <f>SK[[#This Row],[FİRE]]</f>
        <v>0</v>
      </c>
      <c r="F242" s="11">
        <f>SK[[#This Row],[EŞİT FİRE]]</f>
        <v>0</v>
      </c>
      <c r="G242" s="9">
        <f>IF(MOD(SK[[#This Row],[GEREKLİ ADET]],2)=0,SK[[#This Row],[GEREKLİ ADET]],0)</f>
        <v>0</v>
      </c>
      <c r="H242" s="9">
        <f>SK[[#This Row],[SONDAN KALAN FİRE]]</f>
        <v>0</v>
      </c>
    </row>
    <row r="243" spans="1:8" x14ac:dyDescent="0.3">
      <c r="A243" s="12">
        <f>SK[[#This Row],[TARİH]]</f>
        <v>0</v>
      </c>
      <c r="B243" s="9">
        <f>SK[[#This Row],[TÜR]]</f>
        <v>0</v>
      </c>
      <c r="C243" s="9">
        <f>SK[[#This Row],[MALZEME ]]</f>
        <v>0</v>
      </c>
      <c r="D243" s="9">
        <f>SK[[#This Row],[KALİTE]]</f>
        <v>0</v>
      </c>
      <c r="E243" s="11">
        <f>SK[[#This Row],[FİRE]]</f>
        <v>0</v>
      </c>
      <c r="F243" s="11">
        <f>SK[[#This Row],[EŞİT FİRE]]</f>
        <v>0</v>
      </c>
      <c r="G243" s="9">
        <f>IF(MOD(SK[[#This Row],[GEREKLİ ADET]],2)=0,SK[[#This Row],[GEREKLİ ADET]],0)</f>
        <v>0</v>
      </c>
      <c r="H243" s="9">
        <f>SK[[#This Row],[SONDAN KALAN FİRE]]</f>
        <v>0</v>
      </c>
    </row>
    <row r="244" spans="1:8" x14ac:dyDescent="0.3">
      <c r="A244" s="12">
        <f>SK[[#This Row],[TARİH]]</f>
        <v>0</v>
      </c>
      <c r="B244" s="9">
        <f>SK[[#This Row],[TÜR]]</f>
        <v>0</v>
      </c>
      <c r="C244" s="9">
        <f>SK[[#This Row],[MALZEME ]]</f>
        <v>0</v>
      </c>
      <c r="D244" s="9">
        <f>SK[[#This Row],[KALİTE]]</f>
        <v>0</v>
      </c>
      <c r="E244" s="11">
        <f>SK[[#This Row],[FİRE]]</f>
        <v>0</v>
      </c>
      <c r="F244" s="11">
        <f>SK[[#This Row],[EŞİT FİRE]]</f>
        <v>0</v>
      </c>
      <c r="G244" s="9">
        <f>IF(MOD(SK[[#This Row],[GEREKLİ ADET]],2)=0,SK[[#This Row],[GEREKLİ ADET]],0)</f>
        <v>0</v>
      </c>
      <c r="H244" s="9">
        <f>SK[[#This Row],[SONDAN KALAN FİRE]]</f>
        <v>0</v>
      </c>
    </row>
    <row r="245" spans="1:8" x14ac:dyDescent="0.3">
      <c r="A245" s="12">
        <f>SK[[#This Row],[TARİH]]</f>
        <v>0</v>
      </c>
      <c r="B245" s="9">
        <f>SK[[#This Row],[TÜR]]</f>
        <v>0</v>
      </c>
      <c r="C245" s="9">
        <f>SK[[#This Row],[MALZEME ]]</f>
        <v>0</v>
      </c>
      <c r="D245" s="9">
        <f>SK[[#This Row],[KALİTE]]</f>
        <v>0</v>
      </c>
      <c r="E245" s="11">
        <f>SK[[#This Row],[FİRE]]</f>
        <v>0</v>
      </c>
      <c r="F245" s="11">
        <f>SK[[#This Row],[EŞİT FİRE]]</f>
        <v>0</v>
      </c>
      <c r="G245" s="9">
        <f>IF(MOD(SK[[#This Row],[GEREKLİ ADET]],2)=0,SK[[#This Row],[GEREKLİ ADET]],0)</f>
        <v>0</v>
      </c>
      <c r="H245" s="9">
        <f>SK[[#This Row],[SONDAN KALAN FİRE]]</f>
        <v>0</v>
      </c>
    </row>
    <row r="246" spans="1:8" x14ac:dyDescent="0.3">
      <c r="A246" s="12">
        <f>SK[[#This Row],[TARİH]]</f>
        <v>0</v>
      </c>
      <c r="B246" s="9">
        <f>SK[[#This Row],[TÜR]]</f>
        <v>0</v>
      </c>
      <c r="C246" s="9">
        <f>SK[[#This Row],[MALZEME ]]</f>
        <v>0</v>
      </c>
      <c r="D246" s="9">
        <f>SK[[#This Row],[KALİTE]]</f>
        <v>0</v>
      </c>
      <c r="E246" s="11">
        <f>SK[[#This Row],[FİRE]]</f>
        <v>0</v>
      </c>
      <c r="F246" s="11">
        <f>SK[[#This Row],[EŞİT FİRE]]</f>
        <v>0</v>
      </c>
      <c r="G246" s="9">
        <f>IF(MOD(SK[[#This Row],[GEREKLİ ADET]],2)=0,SK[[#This Row],[GEREKLİ ADET]],0)</f>
        <v>0</v>
      </c>
      <c r="H246" s="9">
        <f>SK[[#This Row],[SONDAN KALAN FİRE]]</f>
        <v>0</v>
      </c>
    </row>
    <row r="247" spans="1:8" x14ac:dyDescent="0.3">
      <c r="A247" s="12">
        <f>SK[[#This Row],[TARİH]]</f>
        <v>0</v>
      </c>
      <c r="B247" s="9">
        <f>SK[[#This Row],[TÜR]]</f>
        <v>0</v>
      </c>
      <c r="C247" s="9">
        <f>SK[[#This Row],[MALZEME ]]</f>
        <v>0</v>
      </c>
      <c r="D247" s="9">
        <f>SK[[#This Row],[KALİTE]]</f>
        <v>0</v>
      </c>
      <c r="E247" s="11">
        <f>SK[[#This Row],[FİRE]]</f>
        <v>0</v>
      </c>
      <c r="F247" s="11">
        <f>SK[[#This Row],[EŞİT FİRE]]</f>
        <v>0</v>
      </c>
      <c r="G247" s="9">
        <f>IF(MOD(SK[[#This Row],[GEREKLİ ADET]],2)=0,SK[[#This Row],[GEREKLİ ADET]],0)</f>
        <v>0</v>
      </c>
      <c r="H247" s="9">
        <f>SK[[#This Row],[SONDAN KALAN FİRE]]</f>
        <v>0</v>
      </c>
    </row>
    <row r="248" spans="1:8" x14ac:dyDescent="0.3">
      <c r="A248" s="12">
        <f>SK[[#This Row],[TARİH]]</f>
        <v>0</v>
      </c>
      <c r="B248" s="9">
        <f>SK[[#This Row],[TÜR]]</f>
        <v>0</v>
      </c>
      <c r="C248" s="9">
        <f>SK[[#This Row],[MALZEME ]]</f>
        <v>0</v>
      </c>
      <c r="D248" s="9">
        <f>SK[[#This Row],[KALİTE]]</f>
        <v>0</v>
      </c>
      <c r="E248" s="11">
        <f>SK[[#This Row],[FİRE]]</f>
        <v>0</v>
      </c>
      <c r="F248" s="11">
        <f>SK[[#This Row],[EŞİT FİRE]]</f>
        <v>0</v>
      </c>
      <c r="G248" s="9">
        <f>IF(MOD(SK[[#This Row],[GEREKLİ ADET]],2)=0,SK[[#This Row],[GEREKLİ ADET]],0)</f>
        <v>0</v>
      </c>
      <c r="H248" s="9">
        <f>SK[[#This Row],[SONDAN KALAN FİRE]]</f>
        <v>0</v>
      </c>
    </row>
    <row r="249" spans="1:8" x14ac:dyDescent="0.3">
      <c r="A249" s="12">
        <f>SK[[#This Row],[TARİH]]</f>
        <v>0</v>
      </c>
      <c r="B249" s="9">
        <f>SK[[#This Row],[TÜR]]</f>
        <v>0</v>
      </c>
      <c r="C249" s="9">
        <f>SK[[#This Row],[MALZEME ]]</f>
        <v>0</v>
      </c>
      <c r="D249" s="9">
        <f>SK[[#This Row],[KALİTE]]</f>
        <v>0</v>
      </c>
      <c r="E249" s="11">
        <f>SK[[#This Row],[FİRE]]</f>
        <v>0</v>
      </c>
      <c r="F249" s="11">
        <f>SK[[#This Row],[EŞİT FİRE]]</f>
        <v>0</v>
      </c>
      <c r="G249" s="9">
        <f>IF(MOD(SK[[#This Row],[GEREKLİ ADET]],2)=0,SK[[#This Row],[GEREKLİ ADET]],0)</f>
        <v>0</v>
      </c>
      <c r="H249" s="9">
        <f>SK[[#This Row],[SONDAN KALAN FİRE]]</f>
        <v>0</v>
      </c>
    </row>
    <row r="250" spans="1:8" x14ac:dyDescent="0.3">
      <c r="A250" s="12">
        <f>SK[[#This Row],[TARİH]]</f>
        <v>0</v>
      </c>
      <c r="B250" s="9">
        <f>SK[[#This Row],[TÜR]]</f>
        <v>0</v>
      </c>
      <c r="C250" s="9">
        <f>SK[[#This Row],[MALZEME ]]</f>
        <v>0</v>
      </c>
      <c r="D250" s="9">
        <f>SK[[#This Row],[KALİTE]]</f>
        <v>0</v>
      </c>
      <c r="E250" s="11">
        <f>SK[[#This Row],[FİRE]]</f>
        <v>0</v>
      </c>
      <c r="F250" s="11">
        <f>SK[[#This Row],[EŞİT FİRE]]</f>
        <v>0</v>
      </c>
      <c r="G250" s="9">
        <f>IF(MOD(SK[[#This Row],[GEREKLİ ADET]],2)=0,SK[[#This Row],[GEREKLİ ADET]],0)</f>
        <v>0</v>
      </c>
      <c r="H250" s="9">
        <f>SK[[#This Row],[SONDAN KALAN FİRE]]</f>
        <v>0</v>
      </c>
    </row>
    <row r="251" spans="1:8" x14ac:dyDescent="0.3">
      <c r="A251" s="12">
        <f>SK[[#This Row],[TARİH]]</f>
        <v>0</v>
      </c>
      <c r="B251" s="9">
        <f>SK[[#This Row],[TÜR]]</f>
        <v>0</v>
      </c>
      <c r="C251" s="9">
        <f>SK[[#This Row],[MALZEME ]]</f>
        <v>0</v>
      </c>
      <c r="D251" s="9">
        <f>SK[[#This Row],[KALİTE]]</f>
        <v>0</v>
      </c>
      <c r="E251" s="11">
        <f>SK[[#This Row],[FİRE]]</f>
        <v>0</v>
      </c>
      <c r="F251" s="11">
        <f>SK[[#This Row],[EŞİT FİRE]]</f>
        <v>0</v>
      </c>
      <c r="G251" s="9">
        <f>IF(MOD(SK[[#This Row],[GEREKLİ ADET]],2)=0,SK[[#This Row],[GEREKLİ ADET]],0)</f>
        <v>0</v>
      </c>
      <c r="H251" s="9">
        <f>SK[[#This Row],[SONDAN KALAN FİRE]]</f>
        <v>0</v>
      </c>
    </row>
    <row r="252" spans="1:8" x14ac:dyDescent="0.3">
      <c r="A252" s="12">
        <f>SK[[#This Row],[TARİH]]</f>
        <v>0</v>
      </c>
      <c r="B252" s="9">
        <f>SK[[#This Row],[TÜR]]</f>
        <v>0</v>
      </c>
      <c r="C252" s="9">
        <f>SK[[#This Row],[MALZEME ]]</f>
        <v>0</v>
      </c>
      <c r="D252" s="9">
        <f>SK[[#This Row],[KALİTE]]</f>
        <v>0</v>
      </c>
      <c r="E252" s="11">
        <f>SK[[#This Row],[FİRE]]</f>
        <v>0</v>
      </c>
      <c r="F252" s="11">
        <f>SK[[#This Row],[EŞİT FİRE]]</f>
        <v>0</v>
      </c>
      <c r="G252" s="9">
        <f>IF(MOD(SK[[#This Row],[GEREKLİ ADET]],2)=0,SK[[#This Row],[GEREKLİ ADET]],0)</f>
        <v>0</v>
      </c>
      <c r="H252" s="9">
        <f>SK[[#This Row],[SONDAN KALAN FİRE]]</f>
        <v>0</v>
      </c>
    </row>
    <row r="253" spans="1:8" x14ac:dyDescent="0.3">
      <c r="A253" s="12">
        <f>SK[[#This Row],[TARİH]]</f>
        <v>0</v>
      </c>
      <c r="B253" s="9">
        <f>SK[[#This Row],[TÜR]]</f>
        <v>0</v>
      </c>
      <c r="C253" s="9">
        <f>SK[[#This Row],[MALZEME ]]</f>
        <v>0</v>
      </c>
      <c r="D253" s="9">
        <f>SK[[#This Row],[KALİTE]]</f>
        <v>0</v>
      </c>
      <c r="E253" s="11">
        <f>SK[[#This Row],[FİRE]]</f>
        <v>0</v>
      </c>
      <c r="F253" s="11">
        <f>SK[[#This Row],[EŞİT FİRE]]</f>
        <v>0</v>
      </c>
      <c r="G253" s="9">
        <f>IF(MOD(SK[[#This Row],[GEREKLİ ADET]],2)=0,SK[[#This Row],[GEREKLİ ADET]],0)</f>
        <v>0</v>
      </c>
      <c r="H253" s="9">
        <f>SK[[#This Row],[SONDAN KALAN FİRE]]</f>
        <v>0</v>
      </c>
    </row>
    <row r="254" spans="1:8" x14ac:dyDescent="0.3">
      <c r="A254" s="12">
        <f>SK[[#This Row],[TARİH]]</f>
        <v>0</v>
      </c>
      <c r="B254" s="9">
        <f>SK[[#This Row],[TÜR]]</f>
        <v>0</v>
      </c>
      <c r="C254" s="9">
        <f>SK[[#This Row],[MALZEME ]]</f>
        <v>0</v>
      </c>
      <c r="D254" s="9">
        <f>SK[[#This Row],[KALİTE]]</f>
        <v>0</v>
      </c>
      <c r="E254" s="11">
        <f>SK[[#This Row],[FİRE]]</f>
        <v>0</v>
      </c>
      <c r="F254" s="11">
        <f>SK[[#This Row],[EŞİT FİRE]]</f>
        <v>0</v>
      </c>
      <c r="G254" s="9">
        <f>IF(MOD(SK[[#This Row],[GEREKLİ ADET]],2)=0,SK[[#This Row],[GEREKLİ ADET]],0)</f>
        <v>0</v>
      </c>
      <c r="H254" s="9">
        <f>SK[[#This Row],[SONDAN KALAN FİRE]]</f>
        <v>0</v>
      </c>
    </row>
    <row r="255" spans="1:8" x14ac:dyDescent="0.3">
      <c r="A255" s="12">
        <f>SK[[#This Row],[TARİH]]</f>
        <v>0</v>
      </c>
      <c r="B255" s="9">
        <f>SK[[#This Row],[TÜR]]</f>
        <v>0</v>
      </c>
      <c r="C255" s="9">
        <f>SK[[#This Row],[MALZEME ]]</f>
        <v>0</v>
      </c>
      <c r="D255" s="9">
        <f>SK[[#This Row],[KALİTE]]</f>
        <v>0</v>
      </c>
      <c r="E255" s="11">
        <f>SK[[#This Row],[FİRE]]</f>
        <v>0</v>
      </c>
      <c r="F255" s="11">
        <f>SK[[#This Row],[EŞİT FİRE]]</f>
        <v>0</v>
      </c>
      <c r="G255" s="9">
        <f>IF(MOD(SK[[#This Row],[GEREKLİ ADET]],2)=0,SK[[#This Row],[GEREKLİ ADET]],0)</f>
        <v>0</v>
      </c>
      <c r="H255" s="9">
        <f>SK[[#This Row],[SONDAN KALAN FİRE]]</f>
        <v>0</v>
      </c>
    </row>
    <row r="256" spans="1:8" x14ac:dyDescent="0.3">
      <c r="A256" s="12">
        <f>SK[[#This Row],[TARİH]]</f>
        <v>0</v>
      </c>
      <c r="B256" s="9">
        <f>SK[[#This Row],[TÜR]]</f>
        <v>0</v>
      </c>
      <c r="C256" s="9">
        <f>SK[[#This Row],[MALZEME ]]</f>
        <v>0</v>
      </c>
      <c r="D256" s="9">
        <f>SK[[#This Row],[KALİTE]]</f>
        <v>0</v>
      </c>
      <c r="E256" s="11">
        <f>SK[[#This Row],[FİRE]]</f>
        <v>0</v>
      </c>
      <c r="F256" s="11">
        <f>SK[[#This Row],[EŞİT FİRE]]</f>
        <v>0</v>
      </c>
      <c r="G256" s="9">
        <f>IF(MOD(SK[[#This Row],[GEREKLİ ADET]],2)=0,SK[[#This Row],[GEREKLİ ADET]],0)</f>
        <v>0</v>
      </c>
      <c r="H256" s="9">
        <f>SK[[#This Row],[SONDAN KALAN FİRE]]</f>
        <v>0</v>
      </c>
    </row>
    <row r="257" spans="1:8" x14ac:dyDescent="0.3">
      <c r="A257" s="12">
        <f>SK[[#This Row],[TARİH]]</f>
        <v>0</v>
      </c>
      <c r="B257" s="9">
        <f>SK[[#This Row],[TÜR]]</f>
        <v>0</v>
      </c>
      <c r="C257" s="9">
        <f>SK[[#This Row],[MALZEME ]]</f>
        <v>0</v>
      </c>
      <c r="D257" s="9">
        <f>SK[[#This Row],[KALİTE]]</f>
        <v>0</v>
      </c>
      <c r="E257" s="11">
        <f>SK[[#This Row],[FİRE]]</f>
        <v>0</v>
      </c>
      <c r="F257" s="11">
        <f>SK[[#This Row],[EŞİT FİRE]]</f>
        <v>0</v>
      </c>
      <c r="G257" s="9">
        <f>IF(MOD(SK[[#This Row],[GEREKLİ ADET]],2)=0,SK[[#This Row],[GEREKLİ ADET]],0)</f>
        <v>0</v>
      </c>
      <c r="H257" s="9">
        <f>SK[[#This Row],[SONDAN KALAN FİRE]]</f>
        <v>0</v>
      </c>
    </row>
    <row r="258" spans="1:8" x14ac:dyDescent="0.3">
      <c r="A258" s="12">
        <f>SK[[#This Row],[TARİH]]</f>
        <v>0</v>
      </c>
      <c r="B258" s="9">
        <f>SK[[#This Row],[TÜR]]</f>
        <v>0</v>
      </c>
      <c r="C258" s="9">
        <f>SK[[#This Row],[MALZEME ]]</f>
        <v>0</v>
      </c>
      <c r="D258" s="9">
        <f>SK[[#This Row],[KALİTE]]</f>
        <v>0</v>
      </c>
      <c r="E258" s="11">
        <f>SK[[#This Row],[FİRE]]</f>
        <v>0</v>
      </c>
      <c r="F258" s="11">
        <f>SK[[#This Row],[EŞİT FİRE]]</f>
        <v>0</v>
      </c>
      <c r="G258" s="9">
        <f>IF(MOD(SK[[#This Row],[GEREKLİ ADET]],2)=0,SK[[#This Row],[GEREKLİ ADET]],0)</f>
        <v>0</v>
      </c>
      <c r="H258" s="9">
        <f>SK[[#This Row],[SONDAN KALAN FİRE]]</f>
        <v>0</v>
      </c>
    </row>
    <row r="259" spans="1:8" x14ac:dyDescent="0.3">
      <c r="A259" s="12">
        <f>SK[[#This Row],[TARİH]]</f>
        <v>0</v>
      </c>
      <c r="B259" s="9">
        <f>SK[[#This Row],[TÜR]]</f>
        <v>0</v>
      </c>
      <c r="C259" s="9">
        <f>SK[[#This Row],[MALZEME ]]</f>
        <v>0</v>
      </c>
      <c r="D259" s="9">
        <f>SK[[#This Row],[KALİTE]]</f>
        <v>0</v>
      </c>
      <c r="E259" s="11">
        <f>SK[[#This Row],[FİRE]]</f>
        <v>0</v>
      </c>
      <c r="F259" s="11">
        <f>SK[[#This Row],[EŞİT FİRE]]</f>
        <v>0</v>
      </c>
      <c r="G259" s="9">
        <f>IF(MOD(SK[[#This Row],[GEREKLİ ADET]],2)=0,SK[[#This Row],[GEREKLİ ADET]],0)</f>
        <v>0</v>
      </c>
      <c r="H259" s="9">
        <f>SK[[#This Row],[SONDAN KALAN FİRE]]</f>
        <v>0</v>
      </c>
    </row>
    <row r="260" spans="1:8" x14ac:dyDescent="0.3">
      <c r="A260" s="12">
        <f>SK[[#This Row],[TARİH]]</f>
        <v>0</v>
      </c>
      <c r="B260" s="9">
        <f>SK[[#This Row],[TÜR]]</f>
        <v>0</v>
      </c>
      <c r="C260" s="9">
        <f>SK[[#This Row],[MALZEME ]]</f>
        <v>0</v>
      </c>
      <c r="D260" s="9">
        <f>SK[[#This Row],[KALİTE]]</f>
        <v>0</v>
      </c>
      <c r="E260" s="11">
        <f>SK[[#This Row],[FİRE]]</f>
        <v>0</v>
      </c>
      <c r="F260" s="11">
        <f>SK[[#This Row],[EŞİT FİRE]]</f>
        <v>0</v>
      </c>
      <c r="G260" s="9">
        <f>IF(MOD(SK[[#This Row],[GEREKLİ ADET]],2)=0,SK[[#This Row],[GEREKLİ ADET]],0)</f>
        <v>0</v>
      </c>
      <c r="H260" s="9">
        <f>SK[[#This Row],[SONDAN KALAN FİRE]]</f>
        <v>0</v>
      </c>
    </row>
    <row r="261" spans="1:8" x14ac:dyDescent="0.3">
      <c r="A261" s="12">
        <f>SK[[#This Row],[TARİH]]</f>
        <v>0</v>
      </c>
      <c r="B261" s="9">
        <f>SK[[#This Row],[TÜR]]</f>
        <v>0</v>
      </c>
      <c r="C261" s="9">
        <f>SK[[#This Row],[MALZEME ]]</f>
        <v>0</v>
      </c>
      <c r="D261" s="9">
        <f>SK[[#This Row],[KALİTE]]</f>
        <v>0</v>
      </c>
      <c r="E261" s="11">
        <f>SK[[#This Row],[FİRE]]</f>
        <v>0</v>
      </c>
      <c r="F261" s="11">
        <f>SK[[#This Row],[EŞİT FİRE]]</f>
        <v>0</v>
      </c>
      <c r="G261" s="9">
        <f>IF(MOD(SK[[#This Row],[GEREKLİ ADET]],2)=0,SK[[#This Row],[GEREKLİ ADET]],0)</f>
        <v>0</v>
      </c>
      <c r="H261" s="9">
        <f>SK[[#This Row],[SONDAN KALAN FİRE]]</f>
        <v>0</v>
      </c>
    </row>
    <row r="262" spans="1:8" x14ac:dyDescent="0.3">
      <c r="A262" s="12">
        <f>SK[[#This Row],[TARİH]]</f>
        <v>0</v>
      </c>
      <c r="B262" s="9">
        <f>SK[[#This Row],[TÜR]]</f>
        <v>0</v>
      </c>
      <c r="C262" s="9">
        <f>SK[[#This Row],[MALZEME ]]</f>
        <v>0</v>
      </c>
      <c r="D262" s="9">
        <f>SK[[#This Row],[KALİTE]]</f>
        <v>0</v>
      </c>
      <c r="E262" s="11">
        <f>SK[[#This Row],[FİRE]]</f>
        <v>0</v>
      </c>
      <c r="F262" s="11">
        <f>SK[[#This Row],[EŞİT FİRE]]</f>
        <v>0</v>
      </c>
      <c r="G262" s="9">
        <f>IF(MOD(SK[[#This Row],[GEREKLİ ADET]],2)=0,SK[[#This Row],[GEREKLİ ADET]],0)</f>
        <v>0</v>
      </c>
      <c r="H262" s="9">
        <f>SK[[#This Row],[SONDAN KALAN FİRE]]</f>
        <v>0</v>
      </c>
    </row>
    <row r="263" spans="1:8" x14ac:dyDescent="0.3">
      <c r="A263" s="12">
        <f>SK[[#This Row],[TARİH]]</f>
        <v>0</v>
      </c>
      <c r="B263" s="9">
        <f>SK[[#This Row],[TÜR]]</f>
        <v>0</v>
      </c>
      <c r="C263" s="9">
        <f>SK[[#This Row],[MALZEME ]]</f>
        <v>0</v>
      </c>
      <c r="D263" s="9">
        <f>SK[[#This Row],[KALİTE]]</f>
        <v>0</v>
      </c>
      <c r="E263" s="11">
        <f>SK[[#This Row],[FİRE]]</f>
        <v>0</v>
      </c>
      <c r="F263" s="11">
        <f>SK[[#This Row],[EŞİT FİRE]]</f>
        <v>0</v>
      </c>
      <c r="G263" s="9">
        <f>IF(MOD(SK[[#This Row],[GEREKLİ ADET]],2)=0,SK[[#This Row],[GEREKLİ ADET]],0)</f>
        <v>0</v>
      </c>
      <c r="H263" s="9">
        <f>SK[[#This Row],[SONDAN KALAN FİRE]]</f>
        <v>0</v>
      </c>
    </row>
    <row r="264" spans="1:8" x14ac:dyDescent="0.3">
      <c r="A264" s="12">
        <f>SK[[#This Row],[TARİH]]</f>
        <v>0</v>
      </c>
      <c r="B264" s="9">
        <f>SK[[#This Row],[TÜR]]</f>
        <v>0</v>
      </c>
      <c r="C264" s="9">
        <f>SK[[#This Row],[MALZEME ]]</f>
        <v>0</v>
      </c>
      <c r="D264" s="9">
        <f>SK[[#This Row],[KALİTE]]</f>
        <v>0</v>
      </c>
      <c r="E264" s="11">
        <f>SK[[#This Row],[FİRE]]</f>
        <v>0</v>
      </c>
      <c r="F264" s="11">
        <f>SK[[#This Row],[EŞİT FİRE]]</f>
        <v>0</v>
      </c>
      <c r="G264" s="9">
        <f>IF(MOD(SK[[#This Row],[GEREKLİ ADET]],2)=0,SK[[#This Row],[GEREKLİ ADET]],0)</f>
        <v>0</v>
      </c>
      <c r="H264" s="9">
        <f>SK[[#This Row],[SONDAN KALAN FİRE]]</f>
        <v>0</v>
      </c>
    </row>
    <row r="265" spans="1:8" x14ac:dyDescent="0.3">
      <c r="A265" s="12">
        <f>SK[[#This Row],[TARİH]]</f>
        <v>0</v>
      </c>
      <c r="B265" s="9">
        <f>SK[[#This Row],[TÜR]]</f>
        <v>0</v>
      </c>
      <c r="C265" s="9">
        <f>SK[[#This Row],[MALZEME ]]</f>
        <v>0</v>
      </c>
      <c r="D265" s="9">
        <f>SK[[#This Row],[KALİTE]]</f>
        <v>0</v>
      </c>
      <c r="E265" s="11">
        <f>SK[[#This Row],[FİRE]]</f>
        <v>0</v>
      </c>
      <c r="F265" s="11">
        <f>SK[[#This Row],[EŞİT FİRE]]</f>
        <v>0</v>
      </c>
      <c r="G265" s="9">
        <f>IF(MOD(SK[[#This Row],[GEREKLİ ADET]],2)=0,SK[[#This Row],[GEREKLİ ADET]],0)</f>
        <v>0</v>
      </c>
      <c r="H265" s="9">
        <f>SK[[#This Row],[SONDAN KALAN FİRE]]</f>
        <v>0</v>
      </c>
    </row>
    <row r="266" spans="1:8" x14ac:dyDescent="0.3">
      <c r="A266" s="12">
        <f>SK[[#This Row],[TARİH]]</f>
        <v>0</v>
      </c>
      <c r="B266" s="9">
        <f>SK[[#This Row],[TÜR]]</f>
        <v>0</v>
      </c>
      <c r="C266" s="9">
        <f>SK[[#This Row],[MALZEME ]]</f>
        <v>0</v>
      </c>
      <c r="D266" s="9">
        <f>SK[[#This Row],[KALİTE]]</f>
        <v>0</v>
      </c>
      <c r="E266" s="11">
        <f>SK[[#This Row],[FİRE]]</f>
        <v>0</v>
      </c>
      <c r="F266" s="11">
        <f>SK[[#This Row],[EŞİT FİRE]]</f>
        <v>0</v>
      </c>
      <c r="G266" s="9">
        <f>IF(MOD(SK[[#This Row],[GEREKLİ ADET]],2)=0,SK[[#This Row],[GEREKLİ ADET]],0)</f>
        <v>0</v>
      </c>
      <c r="H266" s="9">
        <f>SK[[#This Row],[SONDAN KALAN FİRE]]</f>
        <v>0</v>
      </c>
    </row>
    <row r="267" spans="1:8" x14ac:dyDescent="0.3">
      <c r="A267" s="12">
        <f>SK[[#This Row],[TARİH]]</f>
        <v>0</v>
      </c>
      <c r="B267" s="9">
        <f>SK[[#This Row],[TÜR]]</f>
        <v>0</v>
      </c>
      <c r="C267" s="9">
        <f>SK[[#This Row],[MALZEME ]]</f>
        <v>0</v>
      </c>
      <c r="D267" s="9">
        <f>SK[[#This Row],[KALİTE]]</f>
        <v>0</v>
      </c>
      <c r="E267" s="11">
        <f>SK[[#This Row],[FİRE]]</f>
        <v>0</v>
      </c>
      <c r="F267" s="11">
        <f>SK[[#This Row],[EŞİT FİRE]]</f>
        <v>0</v>
      </c>
      <c r="G267" s="9">
        <f>IF(MOD(SK[[#This Row],[GEREKLİ ADET]],2)=0,SK[[#This Row],[GEREKLİ ADET]],0)</f>
        <v>0</v>
      </c>
      <c r="H267" s="9">
        <f>SK[[#This Row],[SONDAN KALAN FİRE]]</f>
        <v>0</v>
      </c>
    </row>
    <row r="268" spans="1:8" x14ac:dyDescent="0.3">
      <c r="A268" s="12">
        <f>SK[[#This Row],[TARİH]]</f>
        <v>0</v>
      </c>
      <c r="B268" s="9">
        <f>SK[[#This Row],[TÜR]]</f>
        <v>0</v>
      </c>
      <c r="C268" s="9">
        <f>SK[[#This Row],[MALZEME ]]</f>
        <v>0</v>
      </c>
      <c r="D268" s="9">
        <f>SK[[#This Row],[KALİTE]]</f>
        <v>0</v>
      </c>
      <c r="E268" s="11">
        <f>SK[[#This Row],[FİRE]]</f>
        <v>0</v>
      </c>
      <c r="F268" s="11">
        <f>SK[[#This Row],[EŞİT FİRE]]</f>
        <v>0</v>
      </c>
      <c r="G268" s="9">
        <f>IF(MOD(SK[[#This Row],[GEREKLİ ADET]],2)=0,SK[[#This Row],[GEREKLİ ADET]],0)</f>
        <v>0</v>
      </c>
      <c r="H268" s="9">
        <f>SK[[#This Row],[SONDAN KALAN FİRE]]</f>
        <v>0</v>
      </c>
    </row>
    <row r="269" spans="1:8" x14ac:dyDescent="0.3">
      <c r="A269" s="12">
        <f>SK[[#This Row],[TARİH]]</f>
        <v>0</v>
      </c>
      <c r="B269" s="9">
        <f>SK[[#This Row],[TÜR]]</f>
        <v>0</v>
      </c>
      <c r="C269" s="9">
        <f>SK[[#This Row],[MALZEME ]]</f>
        <v>0</v>
      </c>
      <c r="D269" s="9">
        <f>SK[[#This Row],[KALİTE]]</f>
        <v>0</v>
      </c>
      <c r="E269" s="11">
        <f>SK[[#This Row],[FİRE]]</f>
        <v>0</v>
      </c>
      <c r="F269" s="11">
        <f>SK[[#This Row],[EŞİT FİRE]]</f>
        <v>0</v>
      </c>
      <c r="G269" s="9">
        <f>IF(MOD(SK[[#This Row],[GEREKLİ ADET]],2)=0,SK[[#This Row],[GEREKLİ ADET]],0)</f>
        <v>0</v>
      </c>
      <c r="H269" s="9">
        <f>SK[[#This Row],[SONDAN KALAN FİRE]]</f>
        <v>0</v>
      </c>
    </row>
    <row r="270" spans="1:8" x14ac:dyDescent="0.3">
      <c r="A270" s="12">
        <f>SK[[#This Row],[TARİH]]</f>
        <v>0</v>
      </c>
      <c r="B270" s="9">
        <f>SK[[#This Row],[TÜR]]</f>
        <v>0</v>
      </c>
      <c r="C270" s="9">
        <f>SK[[#This Row],[MALZEME ]]</f>
        <v>0</v>
      </c>
      <c r="D270" s="9">
        <f>SK[[#This Row],[KALİTE]]</f>
        <v>0</v>
      </c>
      <c r="E270" s="11">
        <f>SK[[#This Row],[FİRE]]</f>
        <v>0</v>
      </c>
      <c r="F270" s="11">
        <f>SK[[#This Row],[EŞİT FİRE]]</f>
        <v>0</v>
      </c>
      <c r="G270" s="9">
        <f>IF(MOD(SK[[#This Row],[GEREKLİ ADET]],2)=0,SK[[#This Row],[GEREKLİ ADET]],0)</f>
        <v>0</v>
      </c>
      <c r="H270" s="9">
        <f>SK[[#This Row],[SONDAN KALAN FİRE]]</f>
        <v>0</v>
      </c>
    </row>
    <row r="271" spans="1:8" x14ac:dyDescent="0.3">
      <c r="A271" s="12">
        <f>SK[[#This Row],[TARİH]]</f>
        <v>0</v>
      </c>
      <c r="B271" s="9">
        <f>SK[[#This Row],[TÜR]]</f>
        <v>0</v>
      </c>
      <c r="C271" s="9">
        <f>SK[[#This Row],[MALZEME ]]</f>
        <v>0</v>
      </c>
      <c r="D271" s="9">
        <f>SK[[#This Row],[KALİTE]]</f>
        <v>0</v>
      </c>
      <c r="E271" s="11">
        <f>SK[[#This Row],[FİRE]]</f>
        <v>0</v>
      </c>
      <c r="F271" s="11">
        <f>SK[[#This Row],[EŞİT FİRE]]</f>
        <v>0</v>
      </c>
      <c r="G271" s="9">
        <f>IF(MOD(SK[[#This Row],[GEREKLİ ADET]],2)=0,SK[[#This Row],[GEREKLİ ADET]],0)</f>
        <v>0</v>
      </c>
      <c r="H271" s="9">
        <f>SK[[#This Row],[SONDAN KALAN FİRE]]</f>
        <v>0</v>
      </c>
    </row>
    <row r="272" spans="1:8" x14ac:dyDescent="0.3">
      <c r="A272" s="12">
        <f>SK[[#This Row],[TARİH]]</f>
        <v>0</v>
      </c>
      <c r="B272" s="9">
        <f>SK[[#This Row],[TÜR]]</f>
        <v>0</v>
      </c>
      <c r="C272" s="9">
        <f>SK[[#This Row],[MALZEME ]]</f>
        <v>0</v>
      </c>
      <c r="D272" s="9">
        <f>SK[[#This Row],[KALİTE]]</f>
        <v>0</v>
      </c>
      <c r="E272" s="11">
        <f>SK[[#This Row],[FİRE]]</f>
        <v>0</v>
      </c>
      <c r="F272" s="11">
        <f>SK[[#This Row],[EŞİT FİRE]]</f>
        <v>0</v>
      </c>
      <c r="G272" s="9">
        <f>IF(MOD(SK[[#This Row],[GEREKLİ ADET]],2)=0,SK[[#This Row],[GEREKLİ ADET]],0)</f>
        <v>0</v>
      </c>
      <c r="H272" s="9">
        <f>SK[[#This Row],[SONDAN KALAN FİRE]]</f>
        <v>0</v>
      </c>
    </row>
    <row r="273" spans="1:8" x14ac:dyDescent="0.3">
      <c r="A273" s="12">
        <f>SK[[#This Row],[TARİH]]</f>
        <v>0</v>
      </c>
      <c r="B273" s="9">
        <f>SK[[#This Row],[TÜR]]</f>
        <v>0</v>
      </c>
      <c r="C273" s="9">
        <f>SK[[#This Row],[MALZEME ]]</f>
        <v>0</v>
      </c>
      <c r="D273" s="9">
        <f>SK[[#This Row],[KALİTE]]</f>
        <v>0</v>
      </c>
      <c r="E273" s="11">
        <f>SK[[#This Row],[FİRE]]</f>
        <v>0</v>
      </c>
      <c r="F273" s="11">
        <f>SK[[#This Row],[EŞİT FİRE]]</f>
        <v>0</v>
      </c>
      <c r="G273" s="9">
        <f>IF(MOD(SK[[#This Row],[GEREKLİ ADET]],2)=0,SK[[#This Row],[GEREKLİ ADET]],0)</f>
        <v>0</v>
      </c>
      <c r="H273" s="9">
        <f>SK[[#This Row],[SONDAN KALAN FİRE]]</f>
        <v>0</v>
      </c>
    </row>
    <row r="274" spans="1:8" x14ac:dyDescent="0.3">
      <c r="A274" s="12">
        <f>SK[[#This Row],[TARİH]]</f>
        <v>0</v>
      </c>
      <c r="B274" s="9">
        <f>SK[[#This Row],[TÜR]]</f>
        <v>0</v>
      </c>
      <c r="C274" s="9">
        <f>SK[[#This Row],[MALZEME ]]</f>
        <v>0</v>
      </c>
      <c r="D274" s="9">
        <f>SK[[#This Row],[KALİTE]]</f>
        <v>0</v>
      </c>
      <c r="E274" s="11">
        <f>SK[[#This Row],[FİRE]]</f>
        <v>0</v>
      </c>
      <c r="F274" s="11">
        <f>SK[[#This Row],[EŞİT FİRE]]</f>
        <v>0</v>
      </c>
      <c r="G274" s="9">
        <f>IF(MOD(SK[[#This Row],[GEREKLİ ADET]],2)=0,SK[[#This Row],[GEREKLİ ADET]],0)</f>
        <v>0</v>
      </c>
      <c r="H274" s="9">
        <f>SK[[#This Row],[SONDAN KALAN FİRE]]</f>
        <v>0</v>
      </c>
    </row>
    <row r="275" spans="1:8" x14ac:dyDescent="0.3">
      <c r="A275" s="12">
        <f>SK[[#This Row],[TARİH]]</f>
        <v>0</v>
      </c>
      <c r="B275" s="9">
        <f>SK[[#This Row],[TÜR]]</f>
        <v>0</v>
      </c>
      <c r="C275" s="9">
        <f>SK[[#This Row],[MALZEME ]]</f>
        <v>0</v>
      </c>
      <c r="D275" s="9">
        <f>SK[[#This Row],[KALİTE]]</f>
        <v>0</v>
      </c>
      <c r="E275" s="11">
        <f>SK[[#This Row],[FİRE]]</f>
        <v>0</v>
      </c>
      <c r="F275" s="11">
        <f>SK[[#This Row],[EŞİT FİRE]]</f>
        <v>0</v>
      </c>
      <c r="G275" s="9">
        <f>IF(MOD(SK[[#This Row],[GEREKLİ ADET]],2)=0,SK[[#This Row],[GEREKLİ ADET]],0)</f>
        <v>0</v>
      </c>
      <c r="H275" s="9">
        <f>SK[[#This Row],[SONDAN KALAN FİRE]]</f>
        <v>0</v>
      </c>
    </row>
    <row r="276" spans="1:8" x14ac:dyDescent="0.3">
      <c r="A276" s="12">
        <f>SK[[#This Row],[TARİH]]</f>
        <v>0</v>
      </c>
      <c r="B276" s="9">
        <f>SK[[#This Row],[TÜR]]</f>
        <v>0</v>
      </c>
      <c r="C276" s="9">
        <f>SK[[#This Row],[MALZEME ]]</f>
        <v>0</v>
      </c>
      <c r="D276" s="9">
        <f>SK[[#This Row],[KALİTE]]</f>
        <v>0</v>
      </c>
      <c r="E276" s="11">
        <f>SK[[#This Row],[FİRE]]</f>
        <v>0</v>
      </c>
      <c r="F276" s="11">
        <f>SK[[#This Row],[EŞİT FİRE]]</f>
        <v>0</v>
      </c>
      <c r="G276" s="9">
        <f>IF(MOD(SK[[#This Row],[GEREKLİ ADET]],2)=0,SK[[#This Row],[GEREKLİ ADET]],0)</f>
        <v>0</v>
      </c>
      <c r="H276" s="9">
        <f>SK[[#This Row],[SONDAN KALAN FİRE]]</f>
        <v>0</v>
      </c>
    </row>
    <row r="277" spans="1:8" x14ac:dyDescent="0.3">
      <c r="A277" s="12">
        <f>SK[[#This Row],[TARİH]]</f>
        <v>0</v>
      </c>
      <c r="B277" s="9">
        <f>SK[[#This Row],[TÜR]]</f>
        <v>0</v>
      </c>
      <c r="C277" s="9">
        <f>SK[[#This Row],[MALZEME ]]</f>
        <v>0</v>
      </c>
      <c r="D277" s="9">
        <f>SK[[#This Row],[KALİTE]]</f>
        <v>0</v>
      </c>
      <c r="E277" s="11">
        <f>SK[[#This Row],[FİRE]]</f>
        <v>0</v>
      </c>
      <c r="F277" s="11">
        <f>SK[[#This Row],[EŞİT FİRE]]</f>
        <v>0</v>
      </c>
      <c r="G277" s="9">
        <f>IF(MOD(SK[[#This Row],[GEREKLİ ADET]],2)=0,SK[[#This Row],[GEREKLİ ADET]],0)</f>
        <v>0</v>
      </c>
      <c r="H277" s="9">
        <f>SK[[#This Row],[SONDAN KALAN FİRE]]</f>
        <v>0</v>
      </c>
    </row>
    <row r="278" spans="1:8" x14ac:dyDescent="0.3">
      <c r="A278" s="12">
        <f>SK[[#This Row],[TARİH]]</f>
        <v>0</v>
      </c>
      <c r="B278" s="9">
        <f>SK[[#This Row],[TÜR]]</f>
        <v>0</v>
      </c>
      <c r="C278" s="9">
        <f>SK[[#This Row],[MALZEME ]]</f>
        <v>0</v>
      </c>
      <c r="D278" s="9">
        <f>SK[[#This Row],[KALİTE]]</f>
        <v>0</v>
      </c>
      <c r="E278" s="11">
        <f>SK[[#This Row],[FİRE]]</f>
        <v>0</v>
      </c>
      <c r="F278" s="11">
        <f>SK[[#This Row],[EŞİT FİRE]]</f>
        <v>0</v>
      </c>
      <c r="G278" s="9">
        <f>IF(MOD(SK[[#This Row],[GEREKLİ ADET]],2)=0,SK[[#This Row],[GEREKLİ ADET]],0)</f>
        <v>0</v>
      </c>
      <c r="H278" s="9">
        <f>SK[[#This Row],[SONDAN KALAN FİRE]]</f>
        <v>0</v>
      </c>
    </row>
    <row r="279" spans="1:8" x14ac:dyDescent="0.3">
      <c r="A279" s="12">
        <f>SK[[#This Row],[TARİH]]</f>
        <v>0</v>
      </c>
      <c r="B279" s="9">
        <f>SK[[#This Row],[TÜR]]</f>
        <v>0</v>
      </c>
      <c r="C279" s="9">
        <f>SK[[#This Row],[MALZEME ]]</f>
        <v>0</v>
      </c>
      <c r="D279" s="9">
        <f>SK[[#This Row],[KALİTE]]</f>
        <v>0</v>
      </c>
      <c r="E279" s="11">
        <f>SK[[#This Row],[FİRE]]</f>
        <v>0</v>
      </c>
      <c r="F279" s="11">
        <f>SK[[#This Row],[EŞİT FİRE]]</f>
        <v>0</v>
      </c>
      <c r="G279" s="9">
        <f>IF(MOD(SK[[#This Row],[GEREKLİ ADET]],2)=0,SK[[#This Row],[GEREKLİ ADET]],0)</f>
        <v>0</v>
      </c>
      <c r="H279" s="9">
        <f>SK[[#This Row],[SONDAN KALAN FİRE]]</f>
        <v>0</v>
      </c>
    </row>
    <row r="280" spans="1:8" x14ac:dyDescent="0.3">
      <c r="A280" s="12">
        <f>SK[[#This Row],[TARİH]]</f>
        <v>0</v>
      </c>
      <c r="B280" s="9">
        <f>SK[[#This Row],[TÜR]]</f>
        <v>0</v>
      </c>
      <c r="C280" s="9">
        <f>SK[[#This Row],[MALZEME ]]</f>
        <v>0</v>
      </c>
      <c r="D280" s="9">
        <f>SK[[#This Row],[KALİTE]]</f>
        <v>0</v>
      </c>
      <c r="E280" s="11">
        <f>SK[[#This Row],[FİRE]]</f>
        <v>0</v>
      </c>
      <c r="F280" s="11">
        <f>SK[[#This Row],[EŞİT FİRE]]</f>
        <v>0</v>
      </c>
      <c r="G280" s="9">
        <f>IF(MOD(SK[[#This Row],[GEREKLİ ADET]],2)=0,SK[[#This Row],[GEREKLİ ADET]],0)</f>
        <v>0</v>
      </c>
      <c r="H280" s="9">
        <f>SK[[#This Row],[SONDAN KALAN FİRE]]</f>
        <v>0</v>
      </c>
    </row>
    <row r="281" spans="1:8" x14ac:dyDescent="0.3">
      <c r="A281" s="12">
        <f>SK[[#This Row],[TARİH]]</f>
        <v>0</v>
      </c>
      <c r="B281" s="9">
        <f>SK[[#This Row],[TÜR]]</f>
        <v>0</v>
      </c>
      <c r="C281" s="9">
        <f>SK[[#This Row],[MALZEME ]]</f>
        <v>0</v>
      </c>
      <c r="D281" s="9">
        <f>SK[[#This Row],[KALİTE]]</f>
        <v>0</v>
      </c>
      <c r="E281" s="11">
        <f>SK[[#This Row],[FİRE]]</f>
        <v>0</v>
      </c>
      <c r="F281" s="11">
        <f>SK[[#This Row],[EŞİT FİRE]]</f>
        <v>0</v>
      </c>
      <c r="G281" s="9">
        <f>IF(MOD(SK[[#This Row],[GEREKLİ ADET]],2)=0,SK[[#This Row],[GEREKLİ ADET]],0)</f>
        <v>0</v>
      </c>
      <c r="H281" s="9">
        <f>SK[[#This Row],[SONDAN KALAN FİRE]]</f>
        <v>0</v>
      </c>
    </row>
    <row r="282" spans="1:8" x14ac:dyDescent="0.3">
      <c r="A282" s="12">
        <f>SK[[#This Row],[TARİH]]</f>
        <v>0</v>
      </c>
      <c r="B282" s="9">
        <f>SK[[#This Row],[TÜR]]</f>
        <v>0</v>
      </c>
      <c r="C282" s="9">
        <f>SK[[#This Row],[MALZEME ]]</f>
        <v>0</v>
      </c>
      <c r="D282" s="9">
        <f>SK[[#This Row],[KALİTE]]</f>
        <v>0</v>
      </c>
      <c r="E282" s="11">
        <f>SK[[#This Row],[FİRE]]</f>
        <v>0</v>
      </c>
      <c r="F282" s="11">
        <f>SK[[#This Row],[EŞİT FİRE]]</f>
        <v>0</v>
      </c>
      <c r="G282" s="9">
        <f>IF(MOD(SK[[#This Row],[GEREKLİ ADET]],2)=0,SK[[#This Row],[GEREKLİ ADET]],0)</f>
        <v>0</v>
      </c>
      <c r="H282" s="9">
        <f>SK[[#This Row],[SONDAN KALAN FİRE]]</f>
        <v>0</v>
      </c>
    </row>
    <row r="283" spans="1:8" x14ac:dyDescent="0.3">
      <c r="A283" s="12">
        <f>SK[[#This Row],[TARİH]]</f>
        <v>0</v>
      </c>
      <c r="B283" s="9">
        <f>SK[[#This Row],[TÜR]]</f>
        <v>0</v>
      </c>
      <c r="C283" s="9">
        <f>SK[[#This Row],[MALZEME ]]</f>
        <v>0</v>
      </c>
      <c r="D283" s="9">
        <f>SK[[#This Row],[KALİTE]]</f>
        <v>0</v>
      </c>
      <c r="E283" s="11">
        <f>SK[[#This Row],[FİRE]]</f>
        <v>0</v>
      </c>
      <c r="F283" s="11">
        <f>SK[[#This Row],[EŞİT FİRE]]</f>
        <v>0</v>
      </c>
      <c r="G283" s="9">
        <f>IF(MOD(SK[[#This Row],[GEREKLİ ADET]],2)=0,SK[[#This Row],[GEREKLİ ADET]],0)</f>
        <v>0</v>
      </c>
      <c r="H283" s="9">
        <f>SK[[#This Row],[SONDAN KALAN FİRE]]</f>
        <v>0</v>
      </c>
    </row>
    <row r="284" spans="1:8" x14ac:dyDescent="0.3">
      <c r="A284" s="12">
        <f>SK[[#This Row],[TARİH]]</f>
        <v>0</v>
      </c>
      <c r="B284" s="9">
        <f>SK[[#This Row],[TÜR]]</f>
        <v>0</v>
      </c>
      <c r="C284" s="9">
        <f>SK[[#This Row],[MALZEME ]]</f>
        <v>0</v>
      </c>
      <c r="D284" s="9">
        <f>SK[[#This Row],[KALİTE]]</f>
        <v>0</v>
      </c>
      <c r="E284" s="11">
        <f>SK[[#This Row],[FİRE]]</f>
        <v>0</v>
      </c>
      <c r="F284" s="11">
        <f>SK[[#This Row],[EŞİT FİRE]]</f>
        <v>0</v>
      </c>
      <c r="G284" s="9">
        <f>IF(MOD(SK[[#This Row],[GEREKLİ ADET]],2)=0,SK[[#This Row],[GEREKLİ ADET]],0)</f>
        <v>0</v>
      </c>
      <c r="H284" s="9">
        <f>SK[[#This Row],[SONDAN KALAN FİRE]]</f>
        <v>0</v>
      </c>
    </row>
    <row r="285" spans="1:8" x14ac:dyDescent="0.3">
      <c r="A285" s="12">
        <f>SK[[#This Row],[TARİH]]</f>
        <v>0</v>
      </c>
      <c r="B285" s="9">
        <f>SK[[#This Row],[TÜR]]</f>
        <v>0</v>
      </c>
      <c r="C285" s="9">
        <f>SK[[#This Row],[MALZEME ]]</f>
        <v>0</v>
      </c>
      <c r="D285" s="9">
        <f>SK[[#This Row],[KALİTE]]</f>
        <v>0</v>
      </c>
      <c r="E285" s="11">
        <f>SK[[#This Row],[FİRE]]</f>
        <v>0</v>
      </c>
      <c r="F285" s="11">
        <f>SK[[#This Row],[EŞİT FİRE]]</f>
        <v>0</v>
      </c>
      <c r="G285" s="9">
        <f>IF(MOD(SK[[#This Row],[GEREKLİ ADET]],2)=0,SK[[#This Row],[GEREKLİ ADET]],0)</f>
        <v>0</v>
      </c>
      <c r="H285" s="9">
        <f>SK[[#This Row],[SONDAN KALAN FİRE]]</f>
        <v>0</v>
      </c>
    </row>
    <row r="286" spans="1:8" x14ac:dyDescent="0.3">
      <c r="A286" s="12">
        <f>SK[[#This Row],[TARİH]]</f>
        <v>0</v>
      </c>
      <c r="B286" s="9">
        <f>SK[[#This Row],[TÜR]]</f>
        <v>0</v>
      </c>
      <c r="C286" s="9">
        <f>SK[[#This Row],[MALZEME ]]</f>
        <v>0</v>
      </c>
      <c r="D286" s="9">
        <f>SK[[#This Row],[KALİTE]]</f>
        <v>0</v>
      </c>
      <c r="E286" s="11">
        <f>SK[[#This Row],[FİRE]]</f>
        <v>0</v>
      </c>
      <c r="F286" s="11">
        <f>SK[[#This Row],[EŞİT FİRE]]</f>
        <v>0</v>
      </c>
      <c r="G286" s="9">
        <f>IF(MOD(SK[[#This Row],[GEREKLİ ADET]],2)=0,SK[[#This Row],[GEREKLİ ADET]],0)</f>
        <v>0</v>
      </c>
      <c r="H286" s="9">
        <f>SK[[#This Row],[SONDAN KALAN FİRE]]</f>
        <v>0</v>
      </c>
    </row>
    <row r="287" spans="1:8" x14ac:dyDescent="0.3">
      <c r="A287" s="12">
        <f>SK[[#This Row],[TARİH]]</f>
        <v>0</v>
      </c>
      <c r="B287" s="9">
        <f>SK[[#This Row],[TÜR]]</f>
        <v>0</v>
      </c>
      <c r="C287" s="9">
        <f>SK[[#This Row],[MALZEME ]]</f>
        <v>0</v>
      </c>
      <c r="D287" s="9">
        <f>SK[[#This Row],[KALİTE]]</f>
        <v>0</v>
      </c>
      <c r="E287" s="11">
        <f>SK[[#This Row],[FİRE]]</f>
        <v>0</v>
      </c>
      <c r="F287" s="11">
        <f>SK[[#This Row],[EŞİT FİRE]]</f>
        <v>0</v>
      </c>
      <c r="G287" s="9">
        <f>IF(MOD(SK[[#This Row],[GEREKLİ ADET]],2)=0,SK[[#This Row],[GEREKLİ ADET]],0)</f>
        <v>0</v>
      </c>
      <c r="H287" s="9">
        <f>SK[[#This Row],[SONDAN KALAN FİRE]]</f>
        <v>0</v>
      </c>
    </row>
    <row r="288" spans="1:8" x14ac:dyDescent="0.3">
      <c r="A288" s="12">
        <f>SK[[#This Row],[TARİH]]</f>
        <v>0</v>
      </c>
      <c r="B288" s="9">
        <f>SK[[#This Row],[TÜR]]</f>
        <v>0</v>
      </c>
      <c r="C288" s="9">
        <f>SK[[#This Row],[MALZEME ]]</f>
        <v>0</v>
      </c>
      <c r="D288" s="9">
        <f>SK[[#This Row],[KALİTE]]</f>
        <v>0</v>
      </c>
      <c r="E288" s="11">
        <f>SK[[#This Row],[FİRE]]</f>
        <v>0</v>
      </c>
      <c r="F288" s="11">
        <f>SK[[#This Row],[EŞİT FİRE]]</f>
        <v>0</v>
      </c>
      <c r="G288" s="9">
        <f>IF(MOD(SK[[#This Row],[GEREKLİ ADET]],2)=0,SK[[#This Row],[GEREKLİ ADET]],0)</f>
        <v>0</v>
      </c>
      <c r="H288" s="9">
        <f>SK[[#This Row],[SONDAN KALAN FİRE]]</f>
        <v>0</v>
      </c>
    </row>
    <row r="289" spans="1:8" x14ac:dyDescent="0.3">
      <c r="A289" s="12">
        <f>SK[[#This Row],[TARİH]]</f>
        <v>0</v>
      </c>
      <c r="B289" s="9">
        <f>SK[[#This Row],[TÜR]]</f>
        <v>0</v>
      </c>
      <c r="C289" s="9">
        <f>SK[[#This Row],[MALZEME ]]</f>
        <v>0</v>
      </c>
      <c r="D289" s="9">
        <f>SK[[#This Row],[KALİTE]]</f>
        <v>0</v>
      </c>
      <c r="E289" s="11">
        <f>SK[[#This Row],[FİRE]]</f>
        <v>0</v>
      </c>
      <c r="F289" s="11">
        <f>SK[[#This Row],[EŞİT FİRE]]</f>
        <v>0</v>
      </c>
      <c r="G289" s="9">
        <f>IF(MOD(SK[[#This Row],[GEREKLİ ADET]],2)=0,SK[[#This Row],[GEREKLİ ADET]],0)</f>
        <v>0</v>
      </c>
      <c r="H289" s="9">
        <f>SK[[#This Row],[SONDAN KALAN FİRE]]</f>
        <v>0</v>
      </c>
    </row>
    <row r="290" spans="1:8" x14ac:dyDescent="0.3">
      <c r="A290" s="12">
        <f>SK[[#This Row],[TARİH]]</f>
        <v>0</v>
      </c>
      <c r="B290" s="9">
        <f>SK[[#This Row],[TÜR]]</f>
        <v>0</v>
      </c>
      <c r="C290" s="9">
        <f>SK[[#This Row],[MALZEME ]]</f>
        <v>0</v>
      </c>
      <c r="D290" s="9">
        <f>SK[[#This Row],[KALİTE]]</f>
        <v>0</v>
      </c>
      <c r="E290" s="11">
        <f>SK[[#This Row],[FİRE]]</f>
        <v>0</v>
      </c>
      <c r="F290" s="11">
        <f>SK[[#This Row],[EŞİT FİRE]]</f>
        <v>0</v>
      </c>
      <c r="G290" s="9">
        <f>IF(MOD(SK[[#This Row],[GEREKLİ ADET]],2)=0,SK[[#This Row],[GEREKLİ ADET]],0)</f>
        <v>0</v>
      </c>
      <c r="H290" s="9">
        <f>SK[[#This Row],[SONDAN KALAN FİRE]]</f>
        <v>0</v>
      </c>
    </row>
    <row r="291" spans="1:8" x14ac:dyDescent="0.3">
      <c r="A291" s="12">
        <f>SK[[#This Row],[TARİH]]</f>
        <v>0</v>
      </c>
      <c r="B291" s="9">
        <f>SK[[#This Row],[TÜR]]</f>
        <v>0</v>
      </c>
      <c r="C291" s="9">
        <f>SK[[#This Row],[MALZEME ]]</f>
        <v>0</v>
      </c>
      <c r="D291" s="9">
        <f>SK[[#This Row],[KALİTE]]</f>
        <v>0</v>
      </c>
      <c r="E291" s="11">
        <f>SK[[#This Row],[FİRE]]</f>
        <v>0</v>
      </c>
      <c r="F291" s="11">
        <f>SK[[#This Row],[EŞİT FİRE]]</f>
        <v>0</v>
      </c>
      <c r="G291" s="9">
        <f>IF(MOD(SK[[#This Row],[GEREKLİ ADET]],2)=0,SK[[#This Row],[GEREKLİ ADET]],0)</f>
        <v>0</v>
      </c>
      <c r="H291" s="9">
        <f>SK[[#This Row],[SONDAN KALAN FİRE]]</f>
        <v>0</v>
      </c>
    </row>
    <row r="292" spans="1:8" x14ac:dyDescent="0.3">
      <c r="A292" s="12">
        <f>SK[[#This Row],[TARİH]]</f>
        <v>0</v>
      </c>
      <c r="B292" s="9">
        <f>SK[[#This Row],[TÜR]]</f>
        <v>0</v>
      </c>
      <c r="C292" s="9">
        <f>SK[[#This Row],[MALZEME ]]</f>
        <v>0</v>
      </c>
      <c r="D292" s="9">
        <f>SK[[#This Row],[KALİTE]]</f>
        <v>0</v>
      </c>
      <c r="E292" s="11">
        <f>SK[[#This Row],[FİRE]]</f>
        <v>0</v>
      </c>
      <c r="F292" s="11">
        <f>SK[[#This Row],[EŞİT FİRE]]</f>
        <v>0</v>
      </c>
      <c r="G292" s="9">
        <f>IF(MOD(SK[[#This Row],[GEREKLİ ADET]],2)=0,SK[[#This Row],[GEREKLİ ADET]],0)</f>
        <v>0</v>
      </c>
      <c r="H292" s="9">
        <f>SK[[#This Row],[SONDAN KALAN FİRE]]</f>
        <v>0</v>
      </c>
    </row>
    <row r="293" spans="1:8" x14ac:dyDescent="0.3">
      <c r="A293" s="12">
        <f>SK[[#This Row],[TARİH]]</f>
        <v>0</v>
      </c>
      <c r="B293" s="9">
        <f>SK[[#This Row],[TÜR]]</f>
        <v>0</v>
      </c>
      <c r="C293" s="9">
        <f>SK[[#This Row],[MALZEME ]]</f>
        <v>0</v>
      </c>
      <c r="D293" s="9">
        <f>SK[[#This Row],[KALİTE]]</f>
        <v>0</v>
      </c>
      <c r="E293" s="11">
        <f>SK[[#This Row],[FİRE]]</f>
        <v>0</v>
      </c>
      <c r="F293" s="11">
        <f>SK[[#This Row],[EŞİT FİRE]]</f>
        <v>0</v>
      </c>
      <c r="G293" s="9">
        <f>IF(MOD(SK[[#This Row],[GEREKLİ ADET]],2)=0,SK[[#This Row],[GEREKLİ ADET]],0)</f>
        <v>0</v>
      </c>
      <c r="H293" s="9">
        <f>SK[[#This Row],[SONDAN KALAN FİRE]]</f>
        <v>0</v>
      </c>
    </row>
    <row r="294" spans="1:8" x14ac:dyDescent="0.3">
      <c r="A294" s="12">
        <f>SK[[#This Row],[TARİH]]</f>
        <v>0</v>
      </c>
      <c r="B294" s="9">
        <f>SK[[#This Row],[TÜR]]</f>
        <v>0</v>
      </c>
      <c r="C294" s="9">
        <f>SK[[#This Row],[MALZEME ]]</f>
        <v>0</v>
      </c>
      <c r="D294" s="9">
        <f>SK[[#This Row],[KALİTE]]</f>
        <v>0</v>
      </c>
      <c r="E294" s="11">
        <f>SK[[#This Row],[FİRE]]</f>
        <v>0</v>
      </c>
      <c r="F294" s="11">
        <f>SK[[#This Row],[EŞİT FİRE]]</f>
        <v>0</v>
      </c>
      <c r="G294" s="9">
        <f>IF(MOD(SK[[#This Row],[GEREKLİ ADET]],2)=0,SK[[#This Row],[GEREKLİ ADET]],0)</f>
        <v>0</v>
      </c>
      <c r="H294" s="9">
        <f>SK[[#This Row],[SONDAN KALAN FİRE]]</f>
        <v>0</v>
      </c>
    </row>
    <row r="295" spans="1:8" x14ac:dyDescent="0.3">
      <c r="A295" s="12">
        <f>SK[[#This Row],[TARİH]]</f>
        <v>0</v>
      </c>
      <c r="B295" s="9">
        <f>SK[[#This Row],[TÜR]]</f>
        <v>0</v>
      </c>
      <c r="C295" s="9">
        <f>SK[[#This Row],[MALZEME ]]</f>
        <v>0</v>
      </c>
      <c r="D295" s="9">
        <f>SK[[#This Row],[KALİTE]]</f>
        <v>0</v>
      </c>
      <c r="E295" s="11">
        <f>SK[[#This Row],[FİRE]]</f>
        <v>0</v>
      </c>
      <c r="F295" s="11">
        <f>SK[[#This Row],[EŞİT FİRE]]</f>
        <v>0</v>
      </c>
      <c r="G295" s="9">
        <f>IF(MOD(SK[[#This Row],[GEREKLİ ADET]],2)=0,SK[[#This Row],[GEREKLİ ADET]],0)</f>
        <v>0</v>
      </c>
      <c r="H295" s="9">
        <f>SK[[#This Row],[SONDAN KALAN FİRE]]</f>
        <v>0</v>
      </c>
    </row>
    <row r="296" spans="1:8" x14ac:dyDescent="0.3">
      <c r="A296" s="12">
        <f>SK[[#This Row],[TARİH]]</f>
        <v>0</v>
      </c>
      <c r="B296" s="9">
        <f>SK[[#This Row],[TÜR]]</f>
        <v>0</v>
      </c>
      <c r="C296" s="9">
        <f>SK[[#This Row],[MALZEME ]]</f>
        <v>0</v>
      </c>
      <c r="D296" s="9">
        <f>SK[[#This Row],[KALİTE]]</f>
        <v>0</v>
      </c>
      <c r="E296" s="11">
        <f>SK[[#This Row],[FİRE]]</f>
        <v>0</v>
      </c>
      <c r="F296" s="11">
        <f>SK[[#This Row],[EŞİT FİRE]]</f>
        <v>0</v>
      </c>
      <c r="G296" s="9">
        <f>IF(MOD(SK[[#This Row],[GEREKLİ ADET]],2)=0,SK[[#This Row],[GEREKLİ ADET]],0)</f>
        <v>0</v>
      </c>
      <c r="H296" s="9">
        <f>SK[[#This Row],[SONDAN KALAN FİRE]]</f>
        <v>0</v>
      </c>
    </row>
    <row r="297" spans="1:8" x14ac:dyDescent="0.3">
      <c r="A297" s="12">
        <f>SK[[#This Row],[TARİH]]</f>
        <v>0</v>
      </c>
      <c r="B297" s="9">
        <f>SK[[#This Row],[TÜR]]</f>
        <v>0</v>
      </c>
      <c r="C297" s="9">
        <f>SK[[#This Row],[MALZEME ]]</f>
        <v>0</v>
      </c>
      <c r="D297" s="9">
        <f>SK[[#This Row],[KALİTE]]</f>
        <v>0</v>
      </c>
      <c r="E297" s="11">
        <f>SK[[#This Row],[FİRE]]</f>
        <v>0</v>
      </c>
      <c r="F297" s="11">
        <f>SK[[#This Row],[EŞİT FİRE]]</f>
        <v>0</v>
      </c>
      <c r="G297" s="9">
        <f>IF(MOD(SK[[#This Row],[GEREKLİ ADET]],2)=0,SK[[#This Row],[GEREKLİ ADET]],0)</f>
        <v>0</v>
      </c>
      <c r="H297" s="9">
        <f>SK[[#This Row],[SONDAN KALAN FİRE]]</f>
        <v>0</v>
      </c>
    </row>
    <row r="298" spans="1:8" x14ac:dyDescent="0.3">
      <c r="A298" s="12">
        <f>SK[[#This Row],[TARİH]]</f>
        <v>0</v>
      </c>
      <c r="B298" s="9">
        <f>SK[[#This Row],[TÜR]]</f>
        <v>0</v>
      </c>
      <c r="C298" s="9">
        <f>SK[[#This Row],[MALZEME ]]</f>
        <v>0</v>
      </c>
      <c r="D298" s="9">
        <f>SK[[#This Row],[KALİTE]]</f>
        <v>0</v>
      </c>
      <c r="E298" s="11">
        <f>SK[[#This Row],[FİRE]]</f>
        <v>0</v>
      </c>
      <c r="F298" s="11">
        <f>SK[[#This Row],[EŞİT FİRE]]</f>
        <v>0</v>
      </c>
      <c r="G298" s="9">
        <f>IF(MOD(SK[[#This Row],[GEREKLİ ADET]],2)=0,SK[[#This Row],[GEREKLİ ADET]],0)</f>
        <v>0</v>
      </c>
      <c r="H298" s="9">
        <f>SK[[#This Row],[SONDAN KALAN FİRE]]</f>
        <v>0</v>
      </c>
    </row>
    <row r="299" spans="1:8" x14ac:dyDescent="0.3">
      <c r="A299" s="12">
        <f>SK[[#This Row],[TARİH]]</f>
        <v>0</v>
      </c>
      <c r="B299" s="9">
        <f>SK[[#This Row],[TÜR]]</f>
        <v>0</v>
      </c>
      <c r="C299" s="9">
        <f>SK[[#This Row],[MALZEME ]]</f>
        <v>0</v>
      </c>
      <c r="D299" s="9">
        <f>SK[[#This Row],[KALİTE]]</f>
        <v>0</v>
      </c>
      <c r="E299" s="11">
        <f>SK[[#This Row],[FİRE]]</f>
        <v>0</v>
      </c>
      <c r="F299" s="11">
        <f>SK[[#This Row],[EŞİT FİRE]]</f>
        <v>0</v>
      </c>
      <c r="G299" s="9">
        <f>IF(MOD(SK[[#This Row],[GEREKLİ ADET]],2)=0,SK[[#This Row],[GEREKLİ ADET]],0)</f>
        <v>0</v>
      </c>
      <c r="H299" s="9">
        <f>SK[[#This Row],[SONDAN KALAN FİRE]]</f>
        <v>0</v>
      </c>
    </row>
    <row r="300" spans="1:8" x14ac:dyDescent="0.3">
      <c r="A300" s="12">
        <f>SK[[#This Row],[TARİH]]</f>
        <v>0</v>
      </c>
      <c r="B300" s="9">
        <f>SK[[#This Row],[TÜR]]</f>
        <v>0</v>
      </c>
      <c r="C300" s="9">
        <f>SK[[#This Row],[MALZEME ]]</f>
        <v>0</v>
      </c>
      <c r="D300" s="9">
        <f>SK[[#This Row],[KALİTE]]</f>
        <v>0</v>
      </c>
      <c r="E300" s="11">
        <f>SK[[#This Row],[FİRE]]</f>
        <v>0</v>
      </c>
      <c r="F300" s="11">
        <f>SK[[#This Row],[EŞİT FİRE]]</f>
        <v>0</v>
      </c>
      <c r="G300" s="9">
        <f>IF(MOD(SK[[#This Row],[GEREKLİ ADET]],2)=0,SK[[#This Row],[GEREKLİ ADET]],0)</f>
        <v>0</v>
      </c>
      <c r="H300" s="9">
        <f>SK[[#This Row],[SONDAN KALAN FİRE]]</f>
        <v>0</v>
      </c>
    </row>
    <row r="301" spans="1:8" x14ac:dyDescent="0.3">
      <c r="A301" s="12">
        <f>SK[[#This Row],[TARİH]]</f>
        <v>0</v>
      </c>
      <c r="B301" s="9">
        <f>SK[[#This Row],[TÜR]]</f>
        <v>0</v>
      </c>
      <c r="C301" s="9">
        <f>SK[[#This Row],[MALZEME ]]</f>
        <v>0</v>
      </c>
      <c r="D301" s="9">
        <f>SK[[#This Row],[KALİTE]]</f>
        <v>0</v>
      </c>
      <c r="E301" s="11">
        <f>SK[[#This Row],[FİRE]]</f>
        <v>0</v>
      </c>
      <c r="F301" s="11">
        <f>SK[[#This Row],[EŞİT FİRE]]</f>
        <v>0</v>
      </c>
      <c r="G301" s="9">
        <f>IF(MOD(SK[[#This Row],[GEREKLİ ADET]],2)=0,SK[[#This Row],[GEREKLİ ADET]],0)</f>
        <v>0</v>
      </c>
      <c r="H301" s="9">
        <f>SK[[#This Row],[SONDAN KALAN FİRE]]</f>
        <v>0</v>
      </c>
    </row>
    <row r="302" spans="1:8" x14ac:dyDescent="0.3">
      <c r="A302" s="12">
        <f>SK[[#This Row],[TARİH]]</f>
        <v>0</v>
      </c>
      <c r="B302" s="9">
        <f>SK[[#This Row],[TÜR]]</f>
        <v>0</v>
      </c>
      <c r="C302" s="9">
        <f>SK[[#This Row],[MALZEME ]]</f>
        <v>0</v>
      </c>
      <c r="D302" s="9">
        <f>SK[[#This Row],[KALİTE]]</f>
        <v>0</v>
      </c>
      <c r="E302" s="11">
        <f>SK[[#This Row],[FİRE]]</f>
        <v>0</v>
      </c>
      <c r="F302" s="11">
        <f>SK[[#This Row],[EŞİT FİRE]]</f>
        <v>0</v>
      </c>
      <c r="G302" s="9">
        <f>IF(MOD(SK[[#This Row],[GEREKLİ ADET]],2)=0,SK[[#This Row],[GEREKLİ ADET]],0)</f>
        <v>0</v>
      </c>
      <c r="H302" s="9">
        <f>SK[[#This Row],[SONDAN KALAN FİRE]]</f>
        <v>0</v>
      </c>
    </row>
    <row r="303" spans="1:8" x14ac:dyDescent="0.3">
      <c r="A303" s="12">
        <f>SK[[#This Row],[TARİH]]</f>
        <v>0</v>
      </c>
      <c r="B303" s="9">
        <f>SK[[#This Row],[TÜR]]</f>
        <v>0</v>
      </c>
      <c r="C303" s="9">
        <f>SK[[#This Row],[MALZEME ]]</f>
        <v>0</v>
      </c>
      <c r="D303" s="9">
        <f>SK[[#This Row],[KALİTE]]</f>
        <v>0</v>
      </c>
      <c r="E303" s="11">
        <f>SK[[#This Row],[FİRE]]</f>
        <v>0</v>
      </c>
      <c r="F303" s="11">
        <f>SK[[#This Row],[EŞİT FİRE]]</f>
        <v>0</v>
      </c>
      <c r="G303" s="9">
        <f>IF(MOD(SK[[#This Row],[GEREKLİ ADET]],2)=0,SK[[#This Row],[GEREKLİ ADET]],0)</f>
        <v>0</v>
      </c>
      <c r="H303" s="9">
        <f>SK[[#This Row],[SONDAN KALAN FİRE]]</f>
        <v>0</v>
      </c>
    </row>
    <row r="304" spans="1:8" x14ac:dyDescent="0.3">
      <c r="A304" s="12">
        <f>SK[[#This Row],[TARİH]]</f>
        <v>0</v>
      </c>
      <c r="B304" s="9">
        <f>SK[[#This Row],[TÜR]]</f>
        <v>0</v>
      </c>
      <c r="C304" s="9">
        <f>SK[[#This Row],[MALZEME ]]</f>
        <v>0</v>
      </c>
      <c r="D304" s="9">
        <f>SK[[#This Row],[KALİTE]]</f>
        <v>0</v>
      </c>
      <c r="E304" s="11">
        <f>SK[[#This Row],[FİRE]]</f>
        <v>0</v>
      </c>
      <c r="F304" s="11">
        <f>SK[[#This Row],[EŞİT FİRE]]</f>
        <v>0</v>
      </c>
      <c r="G304" s="9">
        <f>IF(MOD(SK[[#This Row],[GEREKLİ ADET]],2)=0,SK[[#This Row],[GEREKLİ ADET]],0)</f>
        <v>0</v>
      </c>
      <c r="H304" s="9">
        <f>SK[[#This Row],[SONDAN KALAN FİRE]]</f>
        <v>0</v>
      </c>
    </row>
    <row r="305" spans="1:8" x14ac:dyDescent="0.3">
      <c r="A305" s="12">
        <f>SK[[#This Row],[TARİH]]</f>
        <v>0</v>
      </c>
      <c r="B305" s="9">
        <f>SK[[#This Row],[TÜR]]</f>
        <v>0</v>
      </c>
      <c r="C305" s="9">
        <f>SK[[#This Row],[MALZEME ]]</f>
        <v>0</v>
      </c>
      <c r="D305" s="9">
        <f>SK[[#This Row],[KALİTE]]</f>
        <v>0</v>
      </c>
      <c r="E305" s="11">
        <f>SK[[#This Row],[FİRE]]</f>
        <v>0</v>
      </c>
      <c r="F305" s="11">
        <f>SK[[#This Row],[EŞİT FİRE]]</f>
        <v>0</v>
      </c>
      <c r="G305" s="9">
        <f>IF(MOD(SK[[#This Row],[GEREKLİ ADET]],2)=0,SK[[#This Row],[GEREKLİ ADET]],0)</f>
        <v>0</v>
      </c>
      <c r="H305" s="9">
        <f>SK[[#This Row],[SONDAN KALAN FİRE]]</f>
        <v>0</v>
      </c>
    </row>
    <row r="306" spans="1:8" x14ac:dyDescent="0.3">
      <c r="A306" s="12">
        <f>SK[[#This Row],[TARİH]]</f>
        <v>0</v>
      </c>
      <c r="B306" s="9">
        <f>SK[[#This Row],[TÜR]]</f>
        <v>0</v>
      </c>
      <c r="C306" s="9">
        <f>SK[[#This Row],[MALZEME ]]</f>
        <v>0</v>
      </c>
      <c r="D306" s="9">
        <f>SK[[#This Row],[KALİTE]]</f>
        <v>0</v>
      </c>
      <c r="E306" s="11">
        <f>SK[[#This Row],[FİRE]]</f>
        <v>0</v>
      </c>
      <c r="F306" s="11">
        <f>SK[[#This Row],[EŞİT FİRE]]</f>
        <v>0</v>
      </c>
      <c r="G306" s="9">
        <f>IF(MOD(SK[[#This Row],[GEREKLİ ADET]],2)=0,SK[[#This Row],[GEREKLİ ADET]],0)</f>
        <v>0</v>
      </c>
      <c r="H306" s="9">
        <f>SK[[#This Row],[SONDAN KALAN FİRE]]</f>
        <v>0</v>
      </c>
    </row>
    <row r="307" spans="1:8" x14ac:dyDescent="0.3">
      <c r="A307" s="12">
        <f>SK[[#This Row],[TARİH]]</f>
        <v>0</v>
      </c>
      <c r="B307" s="9">
        <f>SK[[#This Row],[TÜR]]</f>
        <v>0</v>
      </c>
      <c r="C307" s="9">
        <f>SK[[#This Row],[MALZEME ]]</f>
        <v>0</v>
      </c>
      <c r="D307" s="9">
        <f>SK[[#This Row],[KALİTE]]</f>
        <v>0</v>
      </c>
      <c r="E307" s="11">
        <f>SK[[#This Row],[FİRE]]</f>
        <v>0</v>
      </c>
      <c r="F307" s="11">
        <f>SK[[#This Row],[EŞİT FİRE]]</f>
        <v>0</v>
      </c>
      <c r="G307" s="9">
        <f>IF(MOD(SK[[#This Row],[GEREKLİ ADET]],2)=0,SK[[#This Row],[GEREKLİ ADET]],0)</f>
        <v>0</v>
      </c>
      <c r="H307" s="9">
        <f>SK[[#This Row],[SONDAN KALAN FİRE]]</f>
        <v>0</v>
      </c>
    </row>
    <row r="308" spans="1:8" x14ac:dyDescent="0.3">
      <c r="A308" s="12">
        <f>SK[[#This Row],[TARİH]]</f>
        <v>0</v>
      </c>
      <c r="B308" s="9">
        <f>SK[[#This Row],[TÜR]]</f>
        <v>0</v>
      </c>
      <c r="C308" s="9">
        <f>SK[[#This Row],[MALZEME ]]</f>
        <v>0</v>
      </c>
      <c r="D308" s="9">
        <f>SK[[#This Row],[KALİTE]]</f>
        <v>0</v>
      </c>
      <c r="E308" s="11">
        <f>SK[[#This Row],[FİRE]]</f>
        <v>0</v>
      </c>
      <c r="F308" s="11">
        <f>SK[[#This Row],[EŞİT FİRE]]</f>
        <v>0</v>
      </c>
      <c r="G308" s="9">
        <f>IF(MOD(SK[[#This Row],[GEREKLİ ADET]],2)=0,SK[[#This Row],[GEREKLİ ADET]],0)</f>
        <v>0</v>
      </c>
      <c r="H308" s="9">
        <f>SK[[#This Row],[SONDAN KALAN FİRE]]</f>
        <v>0</v>
      </c>
    </row>
    <row r="309" spans="1:8" x14ac:dyDescent="0.3">
      <c r="A309" s="12">
        <f>SK[[#This Row],[TARİH]]</f>
        <v>0</v>
      </c>
      <c r="B309" s="9">
        <f>SK[[#This Row],[TÜR]]</f>
        <v>0</v>
      </c>
      <c r="C309" s="9">
        <f>SK[[#This Row],[MALZEME ]]</f>
        <v>0</v>
      </c>
      <c r="D309" s="9">
        <f>SK[[#This Row],[KALİTE]]</f>
        <v>0</v>
      </c>
      <c r="E309" s="11">
        <f>SK[[#This Row],[FİRE]]</f>
        <v>0</v>
      </c>
      <c r="F309" s="11">
        <f>SK[[#This Row],[EŞİT FİRE]]</f>
        <v>0</v>
      </c>
      <c r="G309" s="9">
        <f>IF(MOD(SK[[#This Row],[GEREKLİ ADET]],2)=0,SK[[#This Row],[GEREKLİ ADET]],0)</f>
        <v>0</v>
      </c>
      <c r="H309" s="9">
        <f>SK[[#This Row],[SONDAN KALAN FİRE]]</f>
        <v>0</v>
      </c>
    </row>
    <row r="310" spans="1:8" x14ac:dyDescent="0.3">
      <c r="A310" s="12">
        <f>SK[[#This Row],[TARİH]]</f>
        <v>0</v>
      </c>
      <c r="B310" s="9">
        <f>SK[[#This Row],[TÜR]]</f>
        <v>0</v>
      </c>
      <c r="C310" s="9">
        <f>SK[[#This Row],[MALZEME ]]</f>
        <v>0</v>
      </c>
      <c r="D310" s="9">
        <f>SK[[#This Row],[KALİTE]]</f>
        <v>0</v>
      </c>
      <c r="E310" s="11">
        <f>SK[[#This Row],[FİRE]]</f>
        <v>0</v>
      </c>
      <c r="F310" s="11">
        <f>SK[[#This Row],[EŞİT FİRE]]</f>
        <v>0</v>
      </c>
      <c r="G310" s="9">
        <f>IF(MOD(SK[[#This Row],[GEREKLİ ADET]],2)=0,SK[[#This Row],[GEREKLİ ADET]],0)</f>
        <v>0</v>
      </c>
      <c r="H310" s="9">
        <f>SK[[#This Row],[SONDAN KALAN FİRE]]</f>
        <v>0</v>
      </c>
    </row>
    <row r="311" spans="1:8" x14ac:dyDescent="0.3">
      <c r="A311" s="12">
        <f>SK[[#This Row],[TARİH]]</f>
        <v>0</v>
      </c>
      <c r="B311" s="9">
        <f>SK[[#This Row],[TÜR]]</f>
        <v>0</v>
      </c>
      <c r="C311" s="9">
        <f>SK[[#This Row],[MALZEME ]]</f>
        <v>0</v>
      </c>
      <c r="D311" s="9">
        <f>SK[[#This Row],[KALİTE]]</f>
        <v>0</v>
      </c>
      <c r="E311" s="11">
        <f>SK[[#This Row],[FİRE]]</f>
        <v>0</v>
      </c>
      <c r="F311" s="11">
        <f>SK[[#This Row],[EŞİT FİRE]]</f>
        <v>0</v>
      </c>
      <c r="G311" s="9">
        <f>IF(MOD(SK[[#This Row],[GEREKLİ ADET]],2)=0,SK[[#This Row],[GEREKLİ ADET]],0)</f>
        <v>0</v>
      </c>
      <c r="H311" s="9">
        <f>SK[[#This Row],[SONDAN KALAN FİRE]]</f>
        <v>0</v>
      </c>
    </row>
    <row r="312" spans="1:8" x14ac:dyDescent="0.3">
      <c r="A312" s="12">
        <f>SK[[#This Row],[TARİH]]</f>
        <v>0</v>
      </c>
      <c r="B312" s="9">
        <f>SK[[#This Row],[TÜR]]</f>
        <v>0</v>
      </c>
      <c r="C312" s="9">
        <f>SK[[#This Row],[MALZEME ]]</f>
        <v>0</v>
      </c>
      <c r="D312" s="9">
        <f>SK[[#This Row],[KALİTE]]</f>
        <v>0</v>
      </c>
      <c r="E312" s="11">
        <f>SK[[#This Row],[FİRE]]</f>
        <v>0</v>
      </c>
      <c r="F312" s="11">
        <f>SK[[#This Row],[EŞİT FİRE]]</f>
        <v>0</v>
      </c>
      <c r="G312" s="9">
        <f>IF(MOD(SK[[#This Row],[GEREKLİ ADET]],2)=0,SK[[#This Row],[GEREKLİ ADET]],0)</f>
        <v>0</v>
      </c>
      <c r="H312" s="9">
        <f>SK[[#This Row],[SONDAN KALAN FİRE]]</f>
        <v>0</v>
      </c>
    </row>
    <row r="313" spans="1:8" x14ac:dyDescent="0.3">
      <c r="A313" s="12">
        <f>SK[[#This Row],[TARİH]]</f>
        <v>0</v>
      </c>
      <c r="B313" s="9">
        <f>SK[[#This Row],[TÜR]]</f>
        <v>0</v>
      </c>
      <c r="C313" s="9">
        <f>SK[[#This Row],[MALZEME ]]</f>
        <v>0</v>
      </c>
      <c r="D313" s="9">
        <f>SK[[#This Row],[KALİTE]]</f>
        <v>0</v>
      </c>
      <c r="E313" s="11">
        <f>SK[[#This Row],[FİRE]]</f>
        <v>0</v>
      </c>
      <c r="F313" s="11">
        <f>SK[[#This Row],[EŞİT FİRE]]</f>
        <v>0</v>
      </c>
      <c r="G313" s="9">
        <f>IF(MOD(SK[[#This Row],[GEREKLİ ADET]],2)=0,SK[[#This Row],[GEREKLİ ADET]],0)</f>
        <v>0</v>
      </c>
      <c r="H313" s="9">
        <f>SK[[#This Row],[SONDAN KALAN FİRE]]</f>
        <v>0</v>
      </c>
    </row>
    <row r="314" spans="1:8" x14ac:dyDescent="0.3">
      <c r="A314" s="12">
        <f>SK[[#This Row],[TARİH]]</f>
        <v>0</v>
      </c>
      <c r="B314" s="9">
        <f>SK[[#This Row],[TÜR]]</f>
        <v>0</v>
      </c>
      <c r="C314" s="9">
        <f>SK[[#This Row],[MALZEME ]]</f>
        <v>0</v>
      </c>
      <c r="D314" s="9">
        <f>SK[[#This Row],[KALİTE]]</f>
        <v>0</v>
      </c>
      <c r="E314" s="11">
        <f>SK[[#This Row],[FİRE]]</f>
        <v>0</v>
      </c>
      <c r="F314" s="11">
        <f>SK[[#This Row],[EŞİT FİRE]]</f>
        <v>0</v>
      </c>
      <c r="G314" s="9">
        <f>IF(MOD(SK[[#This Row],[GEREKLİ ADET]],2)=0,SK[[#This Row],[GEREKLİ ADET]],0)</f>
        <v>0</v>
      </c>
      <c r="H314" s="9">
        <f>SK[[#This Row],[SONDAN KALAN FİRE]]</f>
        <v>0</v>
      </c>
    </row>
    <row r="315" spans="1:8" x14ac:dyDescent="0.3">
      <c r="A315" s="12">
        <f>SK[[#This Row],[TARİH]]</f>
        <v>0</v>
      </c>
      <c r="B315" s="9">
        <f>SK[[#This Row],[TÜR]]</f>
        <v>0</v>
      </c>
      <c r="C315" s="9">
        <f>SK[[#This Row],[MALZEME ]]</f>
        <v>0</v>
      </c>
      <c r="D315" s="9">
        <f>SK[[#This Row],[KALİTE]]</f>
        <v>0</v>
      </c>
      <c r="E315" s="11">
        <f>SK[[#This Row],[FİRE]]</f>
        <v>0</v>
      </c>
      <c r="F315" s="11">
        <f>SK[[#This Row],[EŞİT FİRE]]</f>
        <v>0</v>
      </c>
      <c r="G315" s="9">
        <f>IF(MOD(SK[[#This Row],[GEREKLİ ADET]],2)=0,SK[[#This Row],[GEREKLİ ADET]],0)</f>
        <v>0</v>
      </c>
      <c r="H315" s="9">
        <f>SK[[#This Row],[SONDAN KALAN FİRE]]</f>
        <v>0</v>
      </c>
    </row>
    <row r="316" spans="1:8" x14ac:dyDescent="0.3">
      <c r="A316" s="12">
        <f>SK[[#This Row],[TARİH]]</f>
        <v>0</v>
      </c>
      <c r="B316" s="9">
        <f>SK[[#This Row],[TÜR]]</f>
        <v>0</v>
      </c>
      <c r="C316" s="9">
        <f>SK[[#This Row],[MALZEME ]]</f>
        <v>0</v>
      </c>
      <c r="D316" s="9">
        <f>SK[[#This Row],[KALİTE]]</f>
        <v>0</v>
      </c>
      <c r="E316" s="11">
        <f>SK[[#This Row],[FİRE]]</f>
        <v>0</v>
      </c>
      <c r="F316" s="11">
        <f>SK[[#This Row],[EŞİT FİRE]]</f>
        <v>0</v>
      </c>
      <c r="G316" s="9">
        <f>IF(MOD(SK[[#This Row],[GEREKLİ ADET]],2)=0,SK[[#This Row],[GEREKLİ ADET]],0)</f>
        <v>0</v>
      </c>
      <c r="H316" s="9">
        <f>SK[[#This Row],[SONDAN KALAN FİRE]]</f>
        <v>0</v>
      </c>
    </row>
    <row r="317" spans="1:8" x14ac:dyDescent="0.3">
      <c r="A317" s="12">
        <f>SK[[#This Row],[TARİH]]</f>
        <v>0</v>
      </c>
      <c r="B317" s="9">
        <f>SK[[#This Row],[TÜR]]</f>
        <v>0</v>
      </c>
      <c r="C317" s="9">
        <f>SK[[#This Row],[MALZEME ]]</f>
        <v>0</v>
      </c>
      <c r="D317" s="9">
        <f>SK[[#This Row],[KALİTE]]</f>
        <v>0</v>
      </c>
      <c r="E317" s="11">
        <f>SK[[#This Row],[FİRE]]</f>
        <v>0</v>
      </c>
      <c r="F317" s="11">
        <f>SK[[#This Row],[EŞİT FİRE]]</f>
        <v>0</v>
      </c>
      <c r="G317" s="9">
        <f>IF(MOD(SK[[#This Row],[GEREKLİ ADET]],2)=0,SK[[#This Row],[GEREKLİ ADET]],0)</f>
        <v>0</v>
      </c>
      <c r="H317" s="9">
        <f>SK[[#This Row],[SONDAN KALAN FİRE]]</f>
        <v>0</v>
      </c>
    </row>
    <row r="318" spans="1:8" x14ac:dyDescent="0.3">
      <c r="A318" s="12">
        <f>SK[[#This Row],[TARİH]]</f>
        <v>0</v>
      </c>
      <c r="B318" s="9">
        <f>SK[[#This Row],[TÜR]]</f>
        <v>0</v>
      </c>
      <c r="C318" s="9">
        <f>SK[[#This Row],[MALZEME ]]</f>
        <v>0</v>
      </c>
      <c r="D318" s="9">
        <f>SK[[#This Row],[KALİTE]]</f>
        <v>0</v>
      </c>
      <c r="E318" s="11">
        <f>SK[[#This Row],[FİRE]]</f>
        <v>0</v>
      </c>
      <c r="F318" s="11">
        <f>SK[[#This Row],[EŞİT FİRE]]</f>
        <v>0</v>
      </c>
      <c r="G318" s="9">
        <f>IF(MOD(SK[[#This Row],[GEREKLİ ADET]],2)=0,SK[[#This Row],[GEREKLİ ADET]],0)</f>
        <v>0</v>
      </c>
      <c r="H318" s="9">
        <f>SK[[#This Row],[SONDAN KALAN FİRE]]</f>
        <v>0</v>
      </c>
    </row>
    <row r="319" spans="1:8" x14ac:dyDescent="0.3">
      <c r="A319" s="12">
        <f>SK[[#This Row],[TARİH]]</f>
        <v>0</v>
      </c>
      <c r="B319" s="9">
        <f>SK[[#This Row],[TÜR]]</f>
        <v>0</v>
      </c>
      <c r="C319" s="9">
        <f>SK[[#This Row],[MALZEME ]]</f>
        <v>0</v>
      </c>
      <c r="D319" s="9">
        <f>SK[[#This Row],[KALİTE]]</f>
        <v>0</v>
      </c>
      <c r="E319" s="11">
        <f>SK[[#This Row],[FİRE]]</f>
        <v>0</v>
      </c>
      <c r="F319" s="11">
        <f>SK[[#This Row],[EŞİT FİRE]]</f>
        <v>0</v>
      </c>
      <c r="G319" s="9">
        <f>IF(MOD(SK[[#This Row],[GEREKLİ ADET]],2)=0,SK[[#This Row],[GEREKLİ ADET]],0)</f>
        <v>0</v>
      </c>
      <c r="H319" s="9">
        <f>SK[[#This Row],[SONDAN KALAN FİRE]]</f>
        <v>0</v>
      </c>
    </row>
    <row r="320" spans="1:8" x14ac:dyDescent="0.3">
      <c r="A320" s="12">
        <f>SK[[#This Row],[TARİH]]</f>
        <v>0</v>
      </c>
      <c r="B320" s="9">
        <f>SK[[#This Row],[TÜR]]</f>
        <v>0</v>
      </c>
      <c r="C320" s="9">
        <f>SK[[#This Row],[MALZEME ]]</f>
        <v>0</v>
      </c>
      <c r="D320" s="9">
        <f>SK[[#This Row],[KALİTE]]</f>
        <v>0</v>
      </c>
      <c r="E320" s="11">
        <f>SK[[#This Row],[FİRE]]</f>
        <v>0</v>
      </c>
      <c r="F320" s="11">
        <f>SK[[#This Row],[EŞİT FİRE]]</f>
        <v>0</v>
      </c>
      <c r="G320" s="9">
        <f>IF(MOD(SK[[#This Row],[GEREKLİ ADET]],2)=0,SK[[#This Row],[GEREKLİ ADET]],0)</f>
        <v>0</v>
      </c>
      <c r="H320" s="9">
        <f>SK[[#This Row],[SONDAN KALAN FİRE]]</f>
        <v>0</v>
      </c>
    </row>
    <row r="321" spans="1:8" x14ac:dyDescent="0.3">
      <c r="A321" s="12">
        <f>SK[[#This Row],[TARİH]]</f>
        <v>0</v>
      </c>
      <c r="B321" s="9">
        <f>SK[[#This Row],[TÜR]]</f>
        <v>0</v>
      </c>
      <c r="C321" s="9">
        <f>SK[[#This Row],[MALZEME ]]</f>
        <v>0</v>
      </c>
      <c r="D321" s="9">
        <f>SK[[#This Row],[KALİTE]]</f>
        <v>0</v>
      </c>
      <c r="E321" s="11">
        <f>SK[[#This Row],[FİRE]]</f>
        <v>0</v>
      </c>
      <c r="F321" s="11">
        <f>SK[[#This Row],[EŞİT FİRE]]</f>
        <v>0</v>
      </c>
      <c r="G321" s="9">
        <f>IF(MOD(SK[[#This Row],[GEREKLİ ADET]],2)=0,SK[[#This Row],[GEREKLİ ADET]],0)</f>
        <v>0</v>
      </c>
      <c r="H321" s="9">
        <f>SK[[#This Row],[SONDAN KALAN FİRE]]</f>
        <v>0</v>
      </c>
    </row>
    <row r="322" spans="1:8" x14ac:dyDescent="0.3">
      <c r="A322" s="12">
        <f>SK[[#This Row],[TARİH]]</f>
        <v>0</v>
      </c>
      <c r="B322" s="9">
        <f>SK[[#This Row],[TÜR]]</f>
        <v>0</v>
      </c>
      <c r="C322" s="9">
        <f>SK[[#This Row],[MALZEME ]]</f>
        <v>0</v>
      </c>
      <c r="D322" s="9">
        <f>SK[[#This Row],[KALİTE]]</f>
        <v>0</v>
      </c>
      <c r="E322" s="11">
        <f>SK[[#This Row],[FİRE]]</f>
        <v>0</v>
      </c>
      <c r="F322" s="11">
        <f>SK[[#This Row],[EŞİT FİRE]]</f>
        <v>0</v>
      </c>
      <c r="G322" s="9">
        <f>IF(MOD(SK[[#This Row],[GEREKLİ ADET]],2)=0,SK[[#This Row],[GEREKLİ ADET]],0)</f>
        <v>0</v>
      </c>
      <c r="H322" s="9">
        <f>SK[[#This Row],[SONDAN KALAN FİRE]]</f>
        <v>0</v>
      </c>
    </row>
    <row r="323" spans="1:8" x14ac:dyDescent="0.3">
      <c r="A323" s="12">
        <f>SK[[#This Row],[TARİH]]</f>
        <v>0</v>
      </c>
      <c r="B323" s="9">
        <f>SK[[#This Row],[TÜR]]</f>
        <v>0</v>
      </c>
      <c r="C323" s="9">
        <f>SK[[#This Row],[MALZEME ]]</f>
        <v>0</v>
      </c>
      <c r="D323" s="9">
        <f>SK[[#This Row],[KALİTE]]</f>
        <v>0</v>
      </c>
      <c r="E323" s="11">
        <f>SK[[#This Row],[FİRE]]</f>
        <v>0</v>
      </c>
      <c r="F323" s="11">
        <f>SK[[#This Row],[EŞİT FİRE]]</f>
        <v>0</v>
      </c>
      <c r="G323" s="9">
        <f>IF(MOD(SK[[#This Row],[GEREKLİ ADET]],2)=0,SK[[#This Row],[GEREKLİ ADET]],0)</f>
        <v>0</v>
      </c>
      <c r="H323" s="9">
        <f>SK[[#This Row],[SONDAN KALAN FİRE]]</f>
        <v>0</v>
      </c>
    </row>
    <row r="324" spans="1:8" x14ac:dyDescent="0.3">
      <c r="A324" s="12">
        <f>SK[[#This Row],[TARİH]]</f>
        <v>0</v>
      </c>
      <c r="B324" s="9">
        <f>SK[[#This Row],[TÜR]]</f>
        <v>0</v>
      </c>
      <c r="C324" s="9">
        <f>SK[[#This Row],[MALZEME ]]</f>
        <v>0</v>
      </c>
      <c r="D324" s="9">
        <f>SK[[#This Row],[KALİTE]]</f>
        <v>0</v>
      </c>
      <c r="E324" s="11">
        <f>SK[[#This Row],[FİRE]]</f>
        <v>0</v>
      </c>
      <c r="F324" s="11">
        <f>SK[[#This Row],[EŞİT FİRE]]</f>
        <v>0</v>
      </c>
      <c r="G324" s="9">
        <f>IF(MOD(SK[[#This Row],[GEREKLİ ADET]],2)=0,SK[[#This Row],[GEREKLİ ADET]],0)</f>
        <v>0</v>
      </c>
      <c r="H324" s="9">
        <f>SK[[#This Row],[SONDAN KALAN FİRE]]</f>
        <v>0</v>
      </c>
    </row>
    <row r="325" spans="1:8" x14ac:dyDescent="0.3">
      <c r="A325" s="12">
        <f>SK[[#This Row],[TARİH]]</f>
        <v>0</v>
      </c>
      <c r="B325" s="9">
        <f>SK[[#This Row],[TÜR]]</f>
        <v>0</v>
      </c>
      <c r="C325" s="9">
        <f>SK[[#This Row],[MALZEME ]]</f>
        <v>0</v>
      </c>
      <c r="D325" s="9">
        <f>SK[[#This Row],[KALİTE]]</f>
        <v>0</v>
      </c>
      <c r="E325" s="11">
        <f>SK[[#This Row],[FİRE]]</f>
        <v>0</v>
      </c>
      <c r="F325" s="11">
        <f>SK[[#This Row],[EŞİT FİRE]]</f>
        <v>0</v>
      </c>
      <c r="G325" s="9">
        <f>IF(MOD(SK[[#This Row],[GEREKLİ ADET]],2)=0,SK[[#This Row],[GEREKLİ ADET]],0)</f>
        <v>0</v>
      </c>
      <c r="H325" s="9">
        <f>SK[[#This Row],[SONDAN KALAN FİRE]]</f>
        <v>0</v>
      </c>
    </row>
    <row r="326" spans="1:8" x14ac:dyDescent="0.3">
      <c r="A326" s="12">
        <f>SK[[#This Row],[TARİH]]</f>
        <v>0</v>
      </c>
      <c r="B326" s="9">
        <f>SK[[#This Row],[TÜR]]</f>
        <v>0</v>
      </c>
      <c r="C326" s="9">
        <f>SK[[#This Row],[MALZEME ]]</f>
        <v>0</v>
      </c>
      <c r="D326" s="9">
        <f>SK[[#This Row],[KALİTE]]</f>
        <v>0</v>
      </c>
      <c r="E326" s="11">
        <f>SK[[#This Row],[FİRE]]</f>
        <v>0</v>
      </c>
      <c r="F326" s="11">
        <f>SK[[#This Row],[EŞİT FİRE]]</f>
        <v>0</v>
      </c>
      <c r="G326" s="9">
        <f>IF(MOD(SK[[#This Row],[GEREKLİ ADET]],2)=0,SK[[#This Row],[GEREKLİ ADET]],0)</f>
        <v>0</v>
      </c>
      <c r="H326" s="9">
        <f>SK[[#This Row],[SONDAN KALAN FİRE]]</f>
        <v>0</v>
      </c>
    </row>
    <row r="327" spans="1:8" x14ac:dyDescent="0.3">
      <c r="A327" s="12">
        <f>SK[[#This Row],[TARİH]]</f>
        <v>0</v>
      </c>
      <c r="B327" s="9">
        <f>SK[[#This Row],[TÜR]]</f>
        <v>0</v>
      </c>
      <c r="C327" s="9">
        <f>SK[[#This Row],[MALZEME ]]</f>
        <v>0</v>
      </c>
      <c r="D327" s="9">
        <f>SK[[#This Row],[KALİTE]]</f>
        <v>0</v>
      </c>
      <c r="E327" s="11">
        <f>SK[[#This Row],[FİRE]]</f>
        <v>0</v>
      </c>
      <c r="F327" s="11">
        <f>SK[[#This Row],[EŞİT FİRE]]</f>
        <v>0</v>
      </c>
      <c r="G327" s="9">
        <f>IF(MOD(SK[[#This Row],[GEREKLİ ADET]],2)=0,SK[[#This Row],[GEREKLİ ADET]],0)</f>
        <v>0</v>
      </c>
      <c r="H327" s="9">
        <f>SK[[#This Row],[SONDAN KALAN FİRE]]</f>
        <v>0</v>
      </c>
    </row>
    <row r="328" spans="1:8" x14ac:dyDescent="0.3">
      <c r="A328" s="12">
        <f>SK[[#This Row],[TARİH]]</f>
        <v>0</v>
      </c>
      <c r="B328" s="9">
        <f>SK[[#This Row],[TÜR]]</f>
        <v>0</v>
      </c>
      <c r="C328" s="9">
        <f>SK[[#This Row],[MALZEME ]]</f>
        <v>0</v>
      </c>
      <c r="D328" s="9">
        <f>SK[[#This Row],[KALİTE]]</f>
        <v>0</v>
      </c>
      <c r="E328" s="11">
        <f>SK[[#This Row],[FİRE]]</f>
        <v>0</v>
      </c>
      <c r="F328" s="11">
        <f>SK[[#This Row],[EŞİT FİRE]]</f>
        <v>0</v>
      </c>
      <c r="G328" s="9">
        <f>IF(MOD(SK[[#This Row],[GEREKLİ ADET]],2)=0,SK[[#This Row],[GEREKLİ ADET]],0)</f>
        <v>0</v>
      </c>
      <c r="H328" s="9">
        <f>SK[[#This Row],[SONDAN KALAN FİRE]]</f>
        <v>0</v>
      </c>
    </row>
    <row r="329" spans="1:8" x14ac:dyDescent="0.3">
      <c r="A329" s="12">
        <f>SK[[#This Row],[TARİH]]</f>
        <v>0</v>
      </c>
      <c r="B329" s="9">
        <f>SK[[#This Row],[TÜR]]</f>
        <v>0</v>
      </c>
      <c r="C329" s="9">
        <f>SK[[#This Row],[MALZEME ]]</f>
        <v>0</v>
      </c>
      <c r="D329" s="9">
        <f>SK[[#This Row],[KALİTE]]</f>
        <v>0</v>
      </c>
      <c r="E329" s="11">
        <f>SK[[#This Row],[FİRE]]</f>
        <v>0</v>
      </c>
      <c r="F329" s="11">
        <f>SK[[#This Row],[EŞİT FİRE]]</f>
        <v>0</v>
      </c>
      <c r="G329" s="9">
        <f>IF(MOD(SK[[#This Row],[GEREKLİ ADET]],2)=0,SK[[#This Row],[GEREKLİ ADET]],0)</f>
        <v>0</v>
      </c>
      <c r="H329" s="9">
        <f>SK[[#This Row],[SONDAN KALAN FİRE]]</f>
        <v>0</v>
      </c>
    </row>
    <row r="330" spans="1:8" x14ac:dyDescent="0.3">
      <c r="A330" s="12">
        <f>SK[[#This Row],[TARİH]]</f>
        <v>0</v>
      </c>
      <c r="B330" s="9">
        <f>SK[[#This Row],[TÜR]]</f>
        <v>0</v>
      </c>
      <c r="C330" s="9">
        <f>SK[[#This Row],[MALZEME ]]</f>
        <v>0</v>
      </c>
      <c r="D330" s="9">
        <f>SK[[#This Row],[KALİTE]]</f>
        <v>0</v>
      </c>
      <c r="E330" s="11">
        <f>SK[[#This Row],[FİRE]]</f>
        <v>0</v>
      </c>
      <c r="F330" s="11">
        <f>SK[[#This Row],[EŞİT FİRE]]</f>
        <v>0</v>
      </c>
      <c r="G330" s="9">
        <f>IF(MOD(SK[[#This Row],[GEREKLİ ADET]],2)=0,SK[[#This Row],[GEREKLİ ADET]],0)</f>
        <v>0</v>
      </c>
      <c r="H330" s="9">
        <f>SK[[#This Row],[SONDAN KALAN FİRE]]</f>
        <v>0</v>
      </c>
    </row>
    <row r="331" spans="1:8" x14ac:dyDescent="0.3">
      <c r="A331" s="12">
        <f>SK[[#This Row],[TARİH]]</f>
        <v>0</v>
      </c>
      <c r="B331" s="9">
        <f>SK[[#This Row],[TÜR]]</f>
        <v>0</v>
      </c>
      <c r="C331" s="9">
        <f>SK[[#This Row],[MALZEME ]]</f>
        <v>0</v>
      </c>
      <c r="D331" s="9">
        <f>SK[[#This Row],[KALİTE]]</f>
        <v>0</v>
      </c>
      <c r="E331" s="11">
        <f>SK[[#This Row],[FİRE]]</f>
        <v>0</v>
      </c>
      <c r="F331" s="11">
        <f>SK[[#This Row],[EŞİT FİRE]]</f>
        <v>0</v>
      </c>
      <c r="G331" s="9">
        <f>IF(MOD(SK[[#This Row],[GEREKLİ ADET]],2)=0,SK[[#This Row],[GEREKLİ ADET]],0)</f>
        <v>0</v>
      </c>
      <c r="H331" s="9">
        <f>SK[[#This Row],[SONDAN KALAN FİRE]]</f>
        <v>0</v>
      </c>
    </row>
    <row r="332" spans="1:8" x14ac:dyDescent="0.3">
      <c r="A332" s="12">
        <f>SK[[#This Row],[TARİH]]</f>
        <v>0</v>
      </c>
      <c r="B332" s="9">
        <f>SK[[#This Row],[TÜR]]</f>
        <v>0</v>
      </c>
      <c r="C332" s="9">
        <f>SK[[#This Row],[MALZEME ]]</f>
        <v>0</v>
      </c>
      <c r="D332" s="9">
        <f>SK[[#This Row],[KALİTE]]</f>
        <v>0</v>
      </c>
      <c r="E332" s="11">
        <f>SK[[#This Row],[FİRE]]</f>
        <v>0</v>
      </c>
      <c r="F332" s="11">
        <f>SK[[#This Row],[EŞİT FİRE]]</f>
        <v>0</v>
      </c>
      <c r="G332" s="9">
        <f>IF(MOD(SK[[#This Row],[GEREKLİ ADET]],2)=0,SK[[#This Row],[GEREKLİ ADET]],0)</f>
        <v>0</v>
      </c>
      <c r="H332" s="9">
        <f>SK[[#This Row],[SONDAN KALAN FİRE]]</f>
        <v>0</v>
      </c>
    </row>
    <row r="333" spans="1:8" x14ac:dyDescent="0.3">
      <c r="A333" s="12">
        <f>SK[[#This Row],[TARİH]]</f>
        <v>0</v>
      </c>
      <c r="B333" s="9">
        <f>SK[[#This Row],[TÜR]]</f>
        <v>0</v>
      </c>
      <c r="C333" s="9">
        <f>SK[[#This Row],[MALZEME ]]</f>
        <v>0</v>
      </c>
      <c r="D333" s="9">
        <f>SK[[#This Row],[KALİTE]]</f>
        <v>0</v>
      </c>
      <c r="E333" s="11">
        <f>SK[[#This Row],[FİRE]]</f>
        <v>0</v>
      </c>
      <c r="F333" s="11">
        <f>SK[[#This Row],[EŞİT FİRE]]</f>
        <v>0</v>
      </c>
      <c r="G333" s="9">
        <f>IF(MOD(SK[[#This Row],[GEREKLİ ADET]],2)=0,SK[[#This Row],[GEREKLİ ADET]],0)</f>
        <v>0</v>
      </c>
      <c r="H333" s="9">
        <f>SK[[#This Row],[SONDAN KALAN FİRE]]</f>
        <v>0</v>
      </c>
    </row>
    <row r="334" spans="1:8" x14ac:dyDescent="0.3">
      <c r="A334" s="12">
        <f>SK[[#This Row],[TARİH]]</f>
        <v>0</v>
      </c>
      <c r="B334" s="9">
        <f>SK[[#This Row],[TÜR]]</f>
        <v>0</v>
      </c>
      <c r="C334" s="9">
        <f>SK[[#This Row],[MALZEME ]]</f>
        <v>0</v>
      </c>
      <c r="D334" s="9">
        <f>SK[[#This Row],[KALİTE]]</f>
        <v>0</v>
      </c>
      <c r="E334" s="11">
        <f>SK[[#This Row],[FİRE]]</f>
        <v>0</v>
      </c>
      <c r="F334" s="11">
        <f>SK[[#This Row],[EŞİT FİRE]]</f>
        <v>0</v>
      </c>
      <c r="G334" s="9">
        <f>IF(MOD(SK[[#This Row],[GEREKLİ ADET]],2)=0,SK[[#This Row],[GEREKLİ ADET]],0)</f>
        <v>0</v>
      </c>
      <c r="H334" s="9">
        <f>SK[[#This Row],[SONDAN KALAN FİRE]]</f>
        <v>0</v>
      </c>
    </row>
    <row r="335" spans="1:8" x14ac:dyDescent="0.3">
      <c r="A335" s="12">
        <f>SK[[#This Row],[TARİH]]</f>
        <v>0</v>
      </c>
      <c r="B335" s="9">
        <f>SK[[#This Row],[TÜR]]</f>
        <v>0</v>
      </c>
      <c r="C335" s="9">
        <f>SK[[#This Row],[MALZEME ]]</f>
        <v>0</v>
      </c>
      <c r="D335" s="9">
        <f>SK[[#This Row],[KALİTE]]</f>
        <v>0</v>
      </c>
      <c r="E335" s="11">
        <f>SK[[#This Row],[FİRE]]</f>
        <v>0</v>
      </c>
      <c r="F335" s="11">
        <f>SK[[#This Row],[EŞİT FİRE]]</f>
        <v>0</v>
      </c>
      <c r="G335" s="9">
        <f>IF(MOD(SK[[#This Row],[GEREKLİ ADET]],2)=0,SK[[#This Row],[GEREKLİ ADET]],0)</f>
        <v>0</v>
      </c>
      <c r="H335" s="9">
        <f>SK[[#This Row],[SONDAN KALAN FİRE]]</f>
        <v>0</v>
      </c>
    </row>
    <row r="336" spans="1:8" x14ac:dyDescent="0.3">
      <c r="A336" s="12">
        <f>SK[[#This Row],[TARİH]]</f>
        <v>0</v>
      </c>
      <c r="B336" s="9">
        <f>SK[[#This Row],[TÜR]]</f>
        <v>0</v>
      </c>
      <c r="C336" s="9">
        <f>SK[[#This Row],[MALZEME ]]</f>
        <v>0</v>
      </c>
      <c r="D336" s="9">
        <f>SK[[#This Row],[KALİTE]]</f>
        <v>0</v>
      </c>
      <c r="E336" s="11">
        <f>SK[[#This Row],[FİRE]]</f>
        <v>0</v>
      </c>
      <c r="F336" s="11">
        <f>SK[[#This Row],[EŞİT FİRE]]</f>
        <v>0</v>
      </c>
      <c r="G336" s="9">
        <f>IF(MOD(SK[[#This Row],[GEREKLİ ADET]],2)=0,SK[[#This Row],[GEREKLİ ADET]],0)</f>
        <v>0</v>
      </c>
      <c r="H336" s="9">
        <f>SK[[#This Row],[SONDAN KALAN FİRE]]</f>
        <v>0</v>
      </c>
    </row>
    <row r="337" spans="1:8" x14ac:dyDescent="0.3">
      <c r="A337" s="12">
        <f>SK[[#This Row],[TARİH]]</f>
        <v>0</v>
      </c>
      <c r="B337" s="9">
        <f>SK[[#This Row],[TÜR]]</f>
        <v>0</v>
      </c>
      <c r="C337" s="9">
        <f>SK[[#This Row],[MALZEME ]]</f>
        <v>0</v>
      </c>
      <c r="D337" s="9">
        <f>SK[[#This Row],[KALİTE]]</f>
        <v>0</v>
      </c>
      <c r="E337" s="11">
        <f>SK[[#This Row],[FİRE]]</f>
        <v>0</v>
      </c>
      <c r="F337" s="11">
        <f>SK[[#This Row],[EŞİT FİRE]]</f>
        <v>0</v>
      </c>
      <c r="G337" s="9">
        <f>IF(MOD(SK[[#This Row],[GEREKLİ ADET]],2)=0,SK[[#This Row],[GEREKLİ ADET]],0)</f>
        <v>0</v>
      </c>
      <c r="H337" s="9">
        <f>SK[[#This Row],[SONDAN KALAN FİRE]]</f>
        <v>0</v>
      </c>
    </row>
    <row r="338" spans="1:8" x14ac:dyDescent="0.3">
      <c r="A338" s="12">
        <f>SK[[#This Row],[TARİH]]</f>
        <v>0</v>
      </c>
      <c r="B338" s="9">
        <f>SK[[#This Row],[TÜR]]</f>
        <v>0</v>
      </c>
      <c r="C338" s="9">
        <f>SK[[#This Row],[MALZEME ]]</f>
        <v>0</v>
      </c>
      <c r="D338" s="9">
        <f>SK[[#This Row],[KALİTE]]</f>
        <v>0</v>
      </c>
      <c r="E338" s="11">
        <f>SK[[#This Row],[FİRE]]</f>
        <v>0</v>
      </c>
      <c r="F338" s="11">
        <f>SK[[#This Row],[EŞİT FİRE]]</f>
        <v>0</v>
      </c>
      <c r="G338" s="9">
        <f>IF(MOD(SK[[#This Row],[GEREKLİ ADET]],2)=0,SK[[#This Row],[GEREKLİ ADET]],0)</f>
        <v>0</v>
      </c>
      <c r="H338" s="9">
        <f>SK[[#This Row],[SONDAN KALAN FİRE]]</f>
        <v>0</v>
      </c>
    </row>
    <row r="339" spans="1:8" x14ac:dyDescent="0.3">
      <c r="A339" s="12">
        <f>SK[[#This Row],[TARİH]]</f>
        <v>0</v>
      </c>
      <c r="B339" s="9">
        <f>SK[[#This Row],[TÜR]]</f>
        <v>0</v>
      </c>
      <c r="C339" s="9">
        <f>SK[[#This Row],[MALZEME ]]</f>
        <v>0</v>
      </c>
      <c r="D339" s="9">
        <f>SK[[#This Row],[KALİTE]]</f>
        <v>0</v>
      </c>
      <c r="E339" s="11">
        <f>SK[[#This Row],[FİRE]]</f>
        <v>0</v>
      </c>
      <c r="F339" s="11">
        <f>SK[[#This Row],[EŞİT FİRE]]</f>
        <v>0</v>
      </c>
      <c r="G339" s="9">
        <f>IF(MOD(SK[[#This Row],[GEREKLİ ADET]],2)=0,SK[[#This Row],[GEREKLİ ADET]],0)</f>
        <v>0</v>
      </c>
      <c r="H339" s="9">
        <f>SK[[#This Row],[SONDAN KALAN FİRE]]</f>
        <v>0</v>
      </c>
    </row>
    <row r="340" spans="1:8" x14ac:dyDescent="0.3">
      <c r="A340" s="12">
        <f>SK[[#This Row],[TARİH]]</f>
        <v>0</v>
      </c>
      <c r="B340" s="9">
        <f>SK[[#This Row],[TÜR]]</f>
        <v>0</v>
      </c>
      <c r="C340" s="9">
        <f>SK[[#This Row],[MALZEME ]]</f>
        <v>0</v>
      </c>
      <c r="D340" s="9">
        <f>SK[[#This Row],[KALİTE]]</f>
        <v>0</v>
      </c>
      <c r="E340" s="11">
        <f>SK[[#This Row],[FİRE]]</f>
        <v>0</v>
      </c>
      <c r="F340" s="11">
        <f>SK[[#This Row],[EŞİT FİRE]]</f>
        <v>0</v>
      </c>
      <c r="G340" s="9">
        <f>IF(MOD(SK[[#This Row],[GEREKLİ ADET]],2)=0,SK[[#This Row],[GEREKLİ ADET]],0)</f>
        <v>0</v>
      </c>
      <c r="H340" s="9">
        <f>SK[[#This Row],[SONDAN KALAN FİRE]]</f>
        <v>0</v>
      </c>
    </row>
    <row r="341" spans="1:8" x14ac:dyDescent="0.3">
      <c r="A341" s="12">
        <f>SK[[#This Row],[TARİH]]</f>
        <v>0</v>
      </c>
      <c r="B341" s="9">
        <f>SK[[#This Row],[TÜR]]</f>
        <v>0</v>
      </c>
      <c r="C341" s="9">
        <f>SK[[#This Row],[MALZEME ]]</f>
        <v>0</v>
      </c>
      <c r="D341" s="9">
        <f>SK[[#This Row],[KALİTE]]</f>
        <v>0</v>
      </c>
      <c r="E341" s="11">
        <f>SK[[#This Row],[FİRE]]</f>
        <v>0</v>
      </c>
      <c r="F341" s="11">
        <f>SK[[#This Row],[EŞİT FİRE]]</f>
        <v>0</v>
      </c>
      <c r="G341" s="9">
        <f>IF(MOD(SK[[#This Row],[GEREKLİ ADET]],2)=0,SK[[#This Row],[GEREKLİ ADET]],0)</f>
        <v>0</v>
      </c>
      <c r="H341" s="9">
        <f>SK[[#This Row],[SONDAN KALAN FİRE]]</f>
        <v>0</v>
      </c>
    </row>
    <row r="342" spans="1:8" x14ac:dyDescent="0.3">
      <c r="A342" s="12">
        <f>SK[[#This Row],[TARİH]]</f>
        <v>0</v>
      </c>
      <c r="B342" s="9">
        <f>SK[[#This Row],[TÜR]]</f>
        <v>0</v>
      </c>
      <c r="C342" s="9">
        <f>SK[[#This Row],[MALZEME ]]</f>
        <v>0</v>
      </c>
      <c r="D342" s="9">
        <f>SK[[#This Row],[KALİTE]]</f>
        <v>0</v>
      </c>
      <c r="E342" s="11">
        <f>SK[[#This Row],[FİRE]]</f>
        <v>0</v>
      </c>
      <c r="F342" s="11">
        <f>SK[[#This Row],[EŞİT FİRE]]</f>
        <v>0</v>
      </c>
      <c r="G342" s="9">
        <f>IF(MOD(SK[[#This Row],[GEREKLİ ADET]],2)=0,SK[[#This Row],[GEREKLİ ADET]],0)</f>
        <v>0</v>
      </c>
      <c r="H342" s="9">
        <f>SK[[#This Row],[SONDAN KALAN FİRE]]</f>
        <v>0</v>
      </c>
    </row>
    <row r="343" spans="1:8" x14ac:dyDescent="0.3">
      <c r="A343" s="12">
        <f>SK[[#This Row],[TARİH]]</f>
        <v>0</v>
      </c>
      <c r="B343" s="9">
        <f>SK[[#This Row],[TÜR]]</f>
        <v>0</v>
      </c>
      <c r="C343" s="9">
        <f>SK[[#This Row],[MALZEME ]]</f>
        <v>0</v>
      </c>
      <c r="D343" s="9">
        <f>SK[[#This Row],[KALİTE]]</f>
        <v>0</v>
      </c>
      <c r="E343" s="11">
        <f>SK[[#This Row],[FİRE]]</f>
        <v>0</v>
      </c>
      <c r="F343" s="11">
        <f>SK[[#This Row],[EŞİT FİRE]]</f>
        <v>0</v>
      </c>
      <c r="G343" s="9">
        <f>IF(MOD(SK[[#This Row],[GEREKLİ ADET]],2)=0,SK[[#This Row],[GEREKLİ ADET]],0)</f>
        <v>0</v>
      </c>
      <c r="H343" s="9">
        <f>SK[[#This Row],[SONDAN KALAN FİRE]]</f>
        <v>0</v>
      </c>
    </row>
    <row r="344" spans="1:8" x14ac:dyDescent="0.3">
      <c r="A344" s="12">
        <f>SK[[#This Row],[TARİH]]</f>
        <v>0</v>
      </c>
      <c r="B344" s="9">
        <f>SK[[#This Row],[TÜR]]</f>
        <v>0</v>
      </c>
      <c r="C344" s="9">
        <f>SK[[#This Row],[MALZEME ]]</f>
        <v>0</v>
      </c>
      <c r="D344" s="9">
        <f>SK[[#This Row],[KALİTE]]</f>
        <v>0</v>
      </c>
      <c r="E344" s="11">
        <f>SK[[#This Row],[FİRE]]</f>
        <v>0</v>
      </c>
      <c r="F344" s="11">
        <f>SK[[#This Row],[EŞİT FİRE]]</f>
        <v>0</v>
      </c>
      <c r="G344" s="9">
        <f>IF(MOD(SK[[#This Row],[GEREKLİ ADET]],2)=0,SK[[#This Row],[GEREKLİ ADET]],0)</f>
        <v>0</v>
      </c>
      <c r="H344" s="9">
        <f>SK[[#This Row],[SONDAN KALAN FİRE]]</f>
        <v>0</v>
      </c>
    </row>
    <row r="345" spans="1:8" x14ac:dyDescent="0.3">
      <c r="A345" s="12">
        <f>SK[[#This Row],[TARİH]]</f>
        <v>0</v>
      </c>
      <c r="B345" s="9">
        <f>SK[[#This Row],[TÜR]]</f>
        <v>0</v>
      </c>
      <c r="C345" s="9">
        <f>SK[[#This Row],[MALZEME ]]</f>
        <v>0</v>
      </c>
      <c r="D345" s="9">
        <f>SK[[#This Row],[KALİTE]]</f>
        <v>0</v>
      </c>
      <c r="E345" s="11">
        <f>SK[[#This Row],[FİRE]]</f>
        <v>0</v>
      </c>
      <c r="F345" s="11">
        <f>SK[[#This Row],[EŞİT FİRE]]</f>
        <v>0</v>
      </c>
      <c r="G345" s="9">
        <f>IF(MOD(SK[[#This Row],[GEREKLİ ADET]],2)=0,SK[[#This Row],[GEREKLİ ADET]],0)</f>
        <v>0</v>
      </c>
      <c r="H345" s="9">
        <f>SK[[#This Row],[SONDAN KALAN FİRE]]</f>
        <v>0</v>
      </c>
    </row>
    <row r="346" spans="1:8" x14ac:dyDescent="0.3">
      <c r="A346" s="12">
        <f>SK[[#This Row],[TARİH]]</f>
        <v>0</v>
      </c>
      <c r="B346" s="9">
        <f>SK[[#This Row],[TÜR]]</f>
        <v>0</v>
      </c>
      <c r="C346" s="9">
        <f>SK[[#This Row],[MALZEME ]]</f>
        <v>0</v>
      </c>
      <c r="D346" s="9">
        <f>SK[[#This Row],[KALİTE]]</f>
        <v>0</v>
      </c>
      <c r="E346" s="11">
        <f>SK[[#This Row],[FİRE]]</f>
        <v>0</v>
      </c>
      <c r="F346" s="11">
        <f>SK[[#This Row],[EŞİT FİRE]]</f>
        <v>0</v>
      </c>
      <c r="G346" s="9">
        <f>IF(MOD(SK[[#This Row],[GEREKLİ ADET]],2)=0,SK[[#This Row],[GEREKLİ ADET]],0)</f>
        <v>0</v>
      </c>
      <c r="H346" s="9">
        <f>SK[[#This Row],[SONDAN KALAN FİRE]]</f>
        <v>0</v>
      </c>
    </row>
    <row r="347" spans="1:8" x14ac:dyDescent="0.3">
      <c r="A347" s="12">
        <f>SK[[#This Row],[TARİH]]</f>
        <v>0</v>
      </c>
      <c r="B347" s="9">
        <f>SK[[#This Row],[TÜR]]</f>
        <v>0</v>
      </c>
      <c r="C347" s="9">
        <f>SK[[#This Row],[MALZEME ]]</f>
        <v>0</v>
      </c>
      <c r="D347" s="9">
        <f>SK[[#This Row],[KALİTE]]</f>
        <v>0</v>
      </c>
      <c r="E347" s="11">
        <f>SK[[#This Row],[FİRE]]</f>
        <v>0</v>
      </c>
      <c r="F347" s="11">
        <f>SK[[#This Row],[EŞİT FİRE]]</f>
        <v>0</v>
      </c>
      <c r="G347" s="9">
        <f>IF(MOD(SK[[#This Row],[GEREKLİ ADET]],2)=0,SK[[#This Row],[GEREKLİ ADET]],0)</f>
        <v>0</v>
      </c>
      <c r="H347" s="9">
        <f>SK[[#This Row],[SONDAN KALAN FİRE]]</f>
        <v>0</v>
      </c>
    </row>
    <row r="348" spans="1:8" x14ac:dyDescent="0.3">
      <c r="A348" s="12">
        <f>SK[[#This Row],[TARİH]]</f>
        <v>0</v>
      </c>
      <c r="B348" s="9">
        <f>SK[[#This Row],[TÜR]]</f>
        <v>0</v>
      </c>
      <c r="C348" s="9">
        <f>SK[[#This Row],[MALZEME ]]</f>
        <v>0</v>
      </c>
      <c r="D348" s="9">
        <f>SK[[#This Row],[KALİTE]]</f>
        <v>0</v>
      </c>
      <c r="E348" s="11">
        <f>SK[[#This Row],[FİRE]]</f>
        <v>0</v>
      </c>
      <c r="F348" s="11">
        <f>SK[[#This Row],[EŞİT FİRE]]</f>
        <v>0</v>
      </c>
      <c r="G348" s="9">
        <f>IF(MOD(SK[[#This Row],[GEREKLİ ADET]],2)=0,SK[[#This Row],[GEREKLİ ADET]],0)</f>
        <v>0</v>
      </c>
      <c r="H348" s="9">
        <f>SK[[#This Row],[SONDAN KALAN FİRE]]</f>
        <v>0</v>
      </c>
    </row>
    <row r="349" spans="1:8" x14ac:dyDescent="0.3">
      <c r="A349" s="12">
        <f>SK[[#This Row],[TARİH]]</f>
        <v>0</v>
      </c>
      <c r="B349" s="9">
        <f>SK[[#This Row],[TÜR]]</f>
        <v>0</v>
      </c>
      <c r="C349" s="9">
        <f>SK[[#This Row],[MALZEME ]]</f>
        <v>0</v>
      </c>
      <c r="D349" s="9">
        <f>SK[[#This Row],[KALİTE]]</f>
        <v>0</v>
      </c>
      <c r="E349" s="11">
        <f>SK[[#This Row],[FİRE]]</f>
        <v>0</v>
      </c>
      <c r="F349" s="11">
        <f>SK[[#This Row],[EŞİT FİRE]]</f>
        <v>0</v>
      </c>
      <c r="G349" s="9">
        <f>IF(MOD(SK[[#This Row],[GEREKLİ ADET]],2)=0,SK[[#This Row],[GEREKLİ ADET]],0)</f>
        <v>0</v>
      </c>
      <c r="H349" s="9">
        <f>SK[[#This Row],[SONDAN KALAN FİRE]]</f>
        <v>0</v>
      </c>
    </row>
    <row r="350" spans="1:8" x14ac:dyDescent="0.3">
      <c r="A350" s="12">
        <f>SK[[#This Row],[TARİH]]</f>
        <v>0</v>
      </c>
      <c r="B350" s="9">
        <f>SK[[#This Row],[TÜR]]</f>
        <v>0</v>
      </c>
      <c r="C350" s="9">
        <f>SK[[#This Row],[MALZEME ]]</f>
        <v>0</v>
      </c>
      <c r="D350" s="9">
        <f>SK[[#This Row],[KALİTE]]</f>
        <v>0</v>
      </c>
      <c r="E350" s="11">
        <f>SK[[#This Row],[FİRE]]</f>
        <v>0</v>
      </c>
      <c r="F350" s="11">
        <f>SK[[#This Row],[EŞİT FİRE]]</f>
        <v>0</v>
      </c>
      <c r="G350" s="9">
        <f>IF(MOD(SK[[#This Row],[GEREKLİ ADET]],2)=0,SK[[#This Row],[GEREKLİ ADET]],0)</f>
        <v>0</v>
      </c>
      <c r="H350" s="9">
        <f>SK[[#This Row],[SONDAN KALAN FİRE]]</f>
        <v>0</v>
      </c>
    </row>
    <row r="351" spans="1:8" x14ac:dyDescent="0.3">
      <c r="A351" s="12">
        <f>SK[[#This Row],[TARİH]]</f>
        <v>0</v>
      </c>
      <c r="B351" s="9">
        <f>SK[[#This Row],[TÜR]]</f>
        <v>0</v>
      </c>
      <c r="C351" s="9">
        <f>SK[[#This Row],[MALZEME ]]</f>
        <v>0</v>
      </c>
      <c r="D351" s="9">
        <f>SK[[#This Row],[KALİTE]]</f>
        <v>0</v>
      </c>
      <c r="E351" s="11">
        <f>SK[[#This Row],[FİRE]]</f>
        <v>0</v>
      </c>
      <c r="F351" s="11">
        <f>SK[[#This Row],[EŞİT FİRE]]</f>
        <v>0</v>
      </c>
      <c r="G351" s="9">
        <f>IF(MOD(SK[[#This Row],[GEREKLİ ADET]],2)=0,SK[[#This Row],[GEREKLİ ADET]],0)</f>
        <v>0</v>
      </c>
      <c r="H351" s="9">
        <f>SK[[#This Row],[SONDAN KALAN FİRE]]</f>
        <v>0</v>
      </c>
    </row>
    <row r="352" spans="1:8" x14ac:dyDescent="0.3">
      <c r="A352" s="12">
        <f>SK[[#This Row],[TARİH]]</f>
        <v>0</v>
      </c>
      <c r="B352" s="9">
        <f>SK[[#This Row],[TÜR]]</f>
        <v>0</v>
      </c>
      <c r="C352" s="9">
        <f>SK[[#This Row],[MALZEME ]]</f>
        <v>0</v>
      </c>
      <c r="D352" s="9">
        <f>SK[[#This Row],[KALİTE]]</f>
        <v>0</v>
      </c>
      <c r="E352" s="11">
        <f>SK[[#This Row],[FİRE]]</f>
        <v>0</v>
      </c>
      <c r="F352" s="11">
        <f>SK[[#This Row],[EŞİT FİRE]]</f>
        <v>0</v>
      </c>
      <c r="G352" s="9">
        <f>IF(MOD(SK[[#This Row],[GEREKLİ ADET]],2)=0,SK[[#This Row],[GEREKLİ ADET]],0)</f>
        <v>0</v>
      </c>
      <c r="H352" s="9">
        <f>SK[[#This Row],[SONDAN KALAN FİRE]]</f>
        <v>0</v>
      </c>
    </row>
    <row r="353" spans="1:8" x14ac:dyDescent="0.3">
      <c r="A353" s="12">
        <f>SK[[#This Row],[TARİH]]</f>
        <v>0</v>
      </c>
      <c r="B353" s="9">
        <f>SK[[#This Row],[TÜR]]</f>
        <v>0</v>
      </c>
      <c r="C353" s="9">
        <f>SK[[#This Row],[MALZEME ]]</f>
        <v>0</v>
      </c>
      <c r="D353" s="9">
        <f>SK[[#This Row],[KALİTE]]</f>
        <v>0</v>
      </c>
      <c r="E353" s="11">
        <f>SK[[#This Row],[FİRE]]</f>
        <v>0</v>
      </c>
      <c r="F353" s="11">
        <f>SK[[#This Row],[EŞİT FİRE]]</f>
        <v>0</v>
      </c>
      <c r="G353" s="9">
        <f>IF(MOD(SK[[#This Row],[GEREKLİ ADET]],2)=0,SK[[#This Row],[GEREKLİ ADET]],0)</f>
        <v>0</v>
      </c>
      <c r="H353" s="9">
        <f>SK[[#This Row],[SONDAN KALAN FİRE]]</f>
        <v>0</v>
      </c>
    </row>
    <row r="354" spans="1:8" x14ac:dyDescent="0.3">
      <c r="A354" s="12">
        <f>SK[[#This Row],[TARİH]]</f>
        <v>0</v>
      </c>
      <c r="B354" s="9">
        <f>SK[[#This Row],[TÜR]]</f>
        <v>0</v>
      </c>
      <c r="C354" s="9">
        <f>SK[[#This Row],[MALZEME ]]</f>
        <v>0</v>
      </c>
      <c r="D354" s="9">
        <f>SK[[#This Row],[KALİTE]]</f>
        <v>0</v>
      </c>
      <c r="E354" s="11">
        <f>SK[[#This Row],[FİRE]]</f>
        <v>0</v>
      </c>
      <c r="F354" s="11">
        <f>SK[[#This Row],[EŞİT FİRE]]</f>
        <v>0</v>
      </c>
      <c r="G354" s="9">
        <f>IF(MOD(SK[[#This Row],[GEREKLİ ADET]],2)=0,SK[[#This Row],[GEREKLİ ADET]],0)</f>
        <v>0</v>
      </c>
      <c r="H354" s="9">
        <f>SK[[#This Row],[SONDAN KALAN FİRE]]</f>
        <v>0</v>
      </c>
    </row>
    <row r="355" spans="1:8" x14ac:dyDescent="0.3">
      <c r="A355" s="12">
        <f>SK[[#This Row],[TARİH]]</f>
        <v>0</v>
      </c>
      <c r="B355" s="9">
        <f>SK[[#This Row],[TÜR]]</f>
        <v>0</v>
      </c>
      <c r="C355" s="9">
        <f>SK[[#This Row],[MALZEME ]]</f>
        <v>0</v>
      </c>
      <c r="D355" s="9">
        <f>SK[[#This Row],[KALİTE]]</f>
        <v>0</v>
      </c>
      <c r="E355" s="11">
        <f>SK[[#This Row],[FİRE]]</f>
        <v>0</v>
      </c>
      <c r="F355" s="11">
        <f>SK[[#This Row],[EŞİT FİRE]]</f>
        <v>0</v>
      </c>
      <c r="G355" s="9">
        <f>IF(MOD(SK[[#This Row],[GEREKLİ ADET]],2)=0,SK[[#This Row],[GEREKLİ ADET]],0)</f>
        <v>0</v>
      </c>
      <c r="H355" s="9">
        <f>SK[[#This Row],[SONDAN KALAN FİRE]]</f>
        <v>0</v>
      </c>
    </row>
    <row r="356" spans="1:8" x14ac:dyDescent="0.3">
      <c r="A356" s="12">
        <f>SK[[#This Row],[TARİH]]</f>
        <v>0</v>
      </c>
      <c r="B356" s="9">
        <f>SK[[#This Row],[TÜR]]</f>
        <v>0</v>
      </c>
      <c r="C356" s="9">
        <f>SK[[#This Row],[MALZEME ]]</f>
        <v>0</v>
      </c>
      <c r="D356" s="9">
        <f>SK[[#This Row],[KALİTE]]</f>
        <v>0</v>
      </c>
      <c r="E356" s="11">
        <f>SK[[#This Row],[FİRE]]</f>
        <v>0</v>
      </c>
      <c r="F356" s="11">
        <f>SK[[#This Row],[EŞİT FİRE]]</f>
        <v>0</v>
      </c>
      <c r="G356" s="9">
        <f>IF(MOD(SK[[#This Row],[GEREKLİ ADET]],2)=0,SK[[#This Row],[GEREKLİ ADET]],0)</f>
        <v>0</v>
      </c>
      <c r="H356" s="9">
        <f>SK[[#This Row],[SONDAN KALAN FİRE]]</f>
        <v>0</v>
      </c>
    </row>
    <row r="357" spans="1:8" x14ac:dyDescent="0.3">
      <c r="A357" s="12">
        <f>SK[[#This Row],[TARİH]]</f>
        <v>0</v>
      </c>
      <c r="B357" s="9">
        <f>SK[[#This Row],[TÜR]]</f>
        <v>0</v>
      </c>
      <c r="C357" s="9">
        <f>SK[[#This Row],[MALZEME ]]</f>
        <v>0</v>
      </c>
      <c r="D357" s="9">
        <f>SK[[#This Row],[KALİTE]]</f>
        <v>0</v>
      </c>
      <c r="E357" s="11">
        <f>SK[[#This Row],[FİRE]]</f>
        <v>0</v>
      </c>
      <c r="F357" s="11">
        <f>SK[[#This Row],[EŞİT FİRE]]</f>
        <v>0</v>
      </c>
      <c r="G357" s="9">
        <f>IF(MOD(SK[[#This Row],[GEREKLİ ADET]],2)=0,SK[[#This Row],[GEREKLİ ADET]],0)</f>
        <v>0</v>
      </c>
      <c r="H357" s="9">
        <f>SK[[#This Row],[SONDAN KALAN FİRE]]</f>
        <v>0</v>
      </c>
    </row>
    <row r="358" spans="1:8" x14ac:dyDescent="0.3">
      <c r="A358" s="12">
        <f>SK[[#This Row],[TARİH]]</f>
        <v>0</v>
      </c>
      <c r="B358" s="9">
        <f>SK[[#This Row],[TÜR]]</f>
        <v>0</v>
      </c>
      <c r="C358" s="9">
        <f>SK[[#This Row],[MALZEME ]]</f>
        <v>0</v>
      </c>
      <c r="D358" s="9">
        <f>SK[[#This Row],[KALİTE]]</f>
        <v>0</v>
      </c>
      <c r="E358" s="11">
        <f>SK[[#This Row],[FİRE]]</f>
        <v>0</v>
      </c>
      <c r="F358" s="11">
        <f>SK[[#This Row],[EŞİT FİRE]]</f>
        <v>0</v>
      </c>
      <c r="G358" s="9">
        <f>IF(MOD(SK[[#This Row],[GEREKLİ ADET]],2)=0,SK[[#This Row],[GEREKLİ ADET]],0)</f>
        <v>0</v>
      </c>
      <c r="H358" s="9">
        <f>SK[[#This Row],[SONDAN KALAN FİRE]]</f>
        <v>0</v>
      </c>
    </row>
    <row r="359" spans="1:8" x14ac:dyDescent="0.3">
      <c r="A359" s="12">
        <f>SK[[#This Row],[TARİH]]</f>
        <v>0</v>
      </c>
      <c r="B359" s="9">
        <f>SK[[#This Row],[TÜR]]</f>
        <v>0</v>
      </c>
      <c r="C359" s="9">
        <f>SK[[#This Row],[MALZEME ]]</f>
        <v>0</v>
      </c>
      <c r="D359" s="9">
        <f>SK[[#This Row],[KALİTE]]</f>
        <v>0</v>
      </c>
      <c r="E359" s="11">
        <f>SK[[#This Row],[FİRE]]</f>
        <v>0</v>
      </c>
      <c r="F359" s="11">
        <f>SK[[#This Row],[EŞİT FİRE]]</f>
        <v>0</v>
      </c>
      <c r="G359" s="9">
        <f>IF(MOD(SK[[#This Row],[GEREKLİ ADET]],2)=0,SK[[#This Row],[GEREKLİ ADET]],0)</f>
        <v>0</v>
      </c>
      <c r="H359" s="9">
        <f>SK[[#This Row],[SONDAN KALAN FİRE]]</f>
        <v>0</v>
      </c>
    </row>
    <row r="360" spans="1:8" x14ac:dyDescent="0.3">
      <c r="A360" s="12">
        <f>SK[[#This Row],[TARİH]]</f>
        <v>0</v>
      </c>
      <c r="B360" s="9">
        <f>SK[[#This Row],[TÜR]]</f>
        <v>0</v>
      </c>
      <c r="C360" s="9">
        <f>SK[[#This Row],[MALZEME ]]</f>
        <v>0</v>
      </c>
      <c r="D360" s="9">
        <f>SK[[#This Row],[KALİTE]]</f>
        <v>0</v>
      </c>
      <c r="E360" s="11">
        <f>SK[[#This Row],[FİRE]]</f>
        <v>0</v>
      </c>
      <c r="F360" s="11">
        <f>SK[[#This Row],[EŞİT FİRE]]</f>
        <v>0</v>
      </c>
      <c r="G360" s="9">
        <f>IF(MOD(SK[[#This Row],[GEREKLİ ADET]],2)=0,SK[[#This Row],[GEREKLİ ADET]],0)</f>
        <v>0</v>
      </c>
      <c r="H360" s="9">
        <f>SK[[#This Row],[SONDAN KALAN FİRE]]</f>
        <v>0</v>
      </c>
    </row>
    <row r="361" spans="1:8" x14ac:dyDescent="0.3">
      <c r="A361" s="12">
        <f>SK[[#This Row],[TARİH]]</f>
        <v>0</v>
      </c>
      <c r="B361" s="9">
        <f>SK[[#This Row],[TÜR]]</f>
        <v>0</v>
      </c>
      <c r="C361" s="9">
        <f>SK[[#This Row],[MALZEME ]]</f>
        <v>0</v>
      </c>
      <c r="D361" s="9">
        <f>SK[[#This Row],[KALİTE]]</f>
        <v>0</v>
      </c>
      <c r="E361" s="11">
        <f>SK[[#This Row],[FİRE]]</f>
        <v>0</v>
      </c>
      <c r="F361" s="11">
        <f>SK[[#This Row],[EŞİT FİRE]]</f>
        <v>0</v>
      </c>
      <c r="G361" s="9">
        <f>IF(MOD(SK[[#This Row],[GEREKLİ ADET]],2)=0,SK[[#This Row],[GEREKLİ ADET]],0)</f>
        <v>0</v>
      </c>
      <c r="H361" s="9">
        <f>SK[[#This Row],[SONDAN KALAN FİRE]]</f>
        <v>0</v>
      </c>
    </row>
    <row r="362" spans="1:8" x14ac:dyDescent="0.3">
      <c r="A362" s="12">
        <f>SK[[#This Row],[TARİH]]</f>
        <v>0</v>
      </c>
      <c r="B362" s="9">
        <f>SK[[#This Row],[TÜR]]</f>
        <v>0</v>
      </c>
      <c r="C362" s="9">
        <f>SK[[#This Row],[MALZEME ]]</f>
        <v>0</v>
      </c>
      <c r="D362" s="9">
        <f>SK[[#This Row],[KALİTE]]</f>
        <v>0</v>
      </c>
      <c r="E362" s="11">
        <f>SK[[#This Row],[FİRE]]</f>
        <v>0</v>
      </c>
      <c r="F362" s="11">
        <f>SK[[#This Row],[EŞİT FİRE]]</f>
        <v>0</v>
      </c>
      <c r="G362" s="9">
        <f>IF(MOD(SK[[#This Row],[GEREKLİ ADET]],2)=0,SK[[#This Row],[GEREKLİ ADET]],0)</f>
        <v>0</v>
      </c>
      <c r="H362" s="9">
        <f>SK[[#This Row],[SONDAN KALAN FİRE]]</f>
        <v>0</v>
      </c>
    </row>
    <row r="363" spans="1:8" x14ac:dyDescent="0.3">
      <c r="A363" s="12">
        <f>SK[[#This Row],[TARİH]]</f>
        <v>0</v>
      </c>
      <c r="B363" s="9">
        <f>SK[[#This Row],[TÜR]]</f>
        <v>0</v>
      </c>
      <c r="C363" s="9">
        <f>SK[[#This Row],[MALZEME ]]</f>
        <v>0</v>
      </c>
      <c r="D363" s="9">
        <f>SK[[#This Row],[KALİTE]]</f>
        <v>0</v>
      </c>
      <c r="E363" s="11">
        <f>SK[[#This Row],[FİRE]]</f>
        <v>0</v>
      </c>
      <c r="F363" s="11">
        <f>SK[[#This Row],[EŞİT FİRE]]</f>
        <v>0</v>
      </c>
      <c r="G363" s="9">
        <f>IF(MOD(SK[[#This Row],[GEREKLİ ADET]],2)=0,SK[[#This Row],[GEREKLİ ADET]],0)</f>
        <v>0</v>
      </c>
      <c r="H363" s="9">
        <f>SK[[#This Row],[SONDAN KALAN FİRE]]</f>
        <v>0</v>
      </c>
    </row>
    <row r="364" spans="1:8" x14ac:dyDescent="0.3">
      <c r="A364" s="12">
        <f>SK[[#This Row],[TARİH]]</f>
        <v>0</v>
      </c>
      <c r="B364" s="9">
        <f>SK[[#This Row],[TÜR]]</f>
        <v>0</v>
      </c>
      <c r="C364" s="9">
        <f>SK[[#This Row],[MALZEME ]]</f>
        <v>0</v>
      </c>
      <c r="D364" s="9">
        <f>SK[[#This Row],[KALİTE]]</f>
        <v>0</v>
      </c>
      <c r="E364" s="11">
        <f>SK[[#This Row],[FİRE]]</f>
        <v>0</v>
      </c>
      <c r="F364" s="11">
        <f>SK[[#This Row],[EŞİT FİRE]]</f>
        <v>0</v>
      </c>
      <c r="G364" s="9">
        <f>IF(MOD(SK[[#This Row],[GEREKLİ ADET]],2)=0,SK[[#This Row],[GEREKLİ ADET]],0)</f>
        <v>0</v>
      </c>
      <c r="H364" s="9">
        <f>SK[[#This Row],[SONDAN KALAN FİRE]]</f>
        <v>0</v>
      </c>
    </row>
    <row r="365" spans="1:8" x14ac:dyDescent="0.3">
      <c r="A365" s="12">
        <f>SK[[#This Row],[TARİH]]</f>
        <v>0</v>
      </c>
      <c r="B365" s="9">
        <f>SK[[#This Row],[TÜR]]</f>
        <v>0</v>
      </c>
      <c r="C365" s="9">
        <f>SK[[#This Row],[MALZEME ]]</f>
        <v>0</v>
      </c>
      <c r="D365" s="9">
        <f>SK[[#This Row],[KALİTE]]</f>
        <v>0</v>
      </c>
      <c r="E365" s="11">
        <f>SK[[#This Row],[FİRE]]</f>
        <v>0</v>
      </c>
      <c r="F365" s="11">
        <f>SK[[#This Row],[EŞİT FİRE]]</f>
        <v>0</v>
      </c>
      <c r="G365" s="9">
        <f>IF(MOD(SK[[#This Row],[GEREKLİ ADET]],2)=0,SK[[#This Row],[GEREKLİ ADET]],0)</f>
        <v>0</v>
      </c>
      <c r="H365" s="9">
        <f>SK[[#This Row],[SONDAN KALAN FİRE]]</f>
        <v>0</v>
      </c>
    </row>
    <row r="366" spans="1:8" x14ac:dyDescent="0.3">
      <c r="A366" s="12">
        <f>SK[[#This Row],[TARİH]]</f>
        <v>0</v>
      </c>
      <c r="B366" s="9">
        <f>SK[[#This Row],[TÜR]]</f>
        <v>0</v>
      </c>
      <c r="C366" s="9">
        <f>SK[[#This Row],[MALZEME ]]</f>
        <v>0</v>
      </c>
      <c r="D366" s="9">
        <f>SK[[#This Row],[KALİTE]]</f>
        <v>0</v>
      </c>
      <c r="E366" s="11">
        <f>SK[[#This Row],[FİRE]]</f>
        <v>0</v>
      </c>
      <c r="F366" s="11">
        <f>SK[[#This Row],[EŞİT FİRE]]</f>
        <v>0</v>
      </c>
      <c r="G366" s="9">
        <f>IF(MOD(SK[[#This Row],[GEREKLİ ADET]],2)=0,SK[[#This Row],[GEREKLİ ADET]],0)</f>
        <v>0</v>
      </c>
      <c r="H366" s="9">
        <f>SK[[#This Row],[SONDAN KALAN FİRE]]</f>
        <v>0</v>
      </c>
    </row>
    <row r="367" spans="1:8" x14ac:dyDescent="0.3">
      <c r="A367" s="12">
        <f>SK[[#This Row],[TARİH]]</f>
        <v>0</v>
      </c>
      <c r="B367" s="9">
        <f>SK[[#This Row],[TÜR]]</f>
        <v>0</v>
      </c>
      <c r="C367" s="9">
        <f>SK[[#This Row],[MALZEME ]]</f>
        <v>0</v>
      </c>
      <c r="D367" s="9">
        <f>SK[[#This Row],[KALİTE]]</f>
        <v>0</v>
      </c>
      <c r="E367" s="11">
        <f>SK[[#This Row],[FİRE]]</f>
        <v>0</v>
      </c>
      <c r="F367" s="11">
        <f>SK[[#This Row],[EŞİT FİRE]]</f>
        <v>0</v>
      </c>
      <c r="G367" s="9">
        <f>IF(MOD(SK[[#This Row],[GEREKLİ ADET]],2)=0,SK[[#This Row],[GEREKLİ ADET]],0)</f>
        <v>0</v>
      </c>
      <c r="H367" s="9">
        <f>SK[[#This Row],[SONDAN KALAN FİRE]]</f>
        <v>0</v>
      </c>
    </row>
    <row r="368" spans="1:8" x14ac:dyDescent="0.3">
      <c r="A368" s="12">
        <f>SK[[#This Row],[TARİH]]</f>
        <v>0</v>
      </c>
      <c r="B368" s="9">
        <f>SK[[#This Row],[TÜR]]</f>
        <v>0</v>
      </c>
      <c r="C368" s="9">
        <f>SK[[#This Row],[MALZEME ]]</f>
        <v>0</v>
      </c>
      <c r="D368" s="9">
        <f>SK[[#This Row],[KALİTE]]</f>
        <v>0</v>
      </c>
      <c r="E368" s="11">
        <f>SK[[#This Row],[FİRE]]</f>
        <v>0</v>
      </c>
      <c r="F368" s="11">
        <f>SK[[#This Row],[EŞİT FİRE]]</f>
        <v>0</v>
      </c>
      <c r="G368" s="9">
        <f>IF(MOD(SK[[#This Row],[GEREKLİ ADET]],2)=0,SK[[#This Row],[GEREKLİ ADET]],0)</f>
        <v>0</v>
      </c>
      <c r="H368" s="9">
        <f>SK[[#This Row],[SONDAN KALAN FİRE]]</f>
        <v>0</v>
      </c>
    </row>
    <row r="369" spans="1:8" x14ac:dyDescent="0.3">
      <c r="A369" s="12">
        <f>SK[[#This Row],[TARİH]]</f>
        <v>0</v>
      </c>
      <c r="B369" s="9">
        <f>SK[[#This Row],[TÜR]]</f>
        <v>0</v>
      </c>
      <c r="C369" s="9">
        <f>SK[[#This Row],[MALZEME ]]</f>
        <v>0</v>
      </c>
      <c r="D369" s="9">
        <f>SK[[#This Row],[KALİTE]]</f>
        <v>0</v>
      </c>
      <c r="E369" s="11">
        <f>SK[[#This Row],[FİRE]]</f>
        <v>0</v>
      </c>
      <c r="F369" s="11">
        <f>SK[[#This Row],[EŞİT FİRE]]</f>
        <v>0</v>
      </c>
      <c r="G369" s="9">
        <f>IF(MOD(SK[[#This Row],[GEREKLİ ADET]],2)=0,SK[[#This Row],[GEREKLİ ADET]],0)</f>
        <v>0</v>
      </c>
      <c r="H369" s="9">
        <f>SK[[#This Row],[SONDAN KALAN FİRE]]</f>
        <v>0</v>
      </c>
    </row>
    <row r="370" spans="1:8" x14ac:dyDescent="0.3">
      <c r="A370" s="12">
        <f>SK[[#This Row],[TARİH]]</f>
        <v>0</v>
      </c>
      <c r="B370" s="9">
        <f>SK[[#This Row],[TÜR]]</f>
        <v>0</v>
      </c>
      <c r="C370" s="9">
        <f>SK[[#This Row],[MALZEME ]]</f>
        <v>0</v>
      </c>
      <c r="D370" s="9">
        <f>SK[[#This Row],[KALİTE]]</f>
        <v>0</v>
      </c>
      <c r="E370" s="11">
        <f>SK[[#This Row],[FİRE]]</f>
        <v>0</v>
      </c>
      <c r="F370" s="11">
        <f>SK[[#This Row],[EŞİT FİRE]]</f>
        <v>0</v>
      </c>
      <c r="G370" s="9">
        <f>IF(MOD(SK[[#This Row],[GEREKLİ ADET]],2)=0,SK[[#This Row],[GEREKLİ ADET]],0)</f>
        <v>0</v>
      </c>
      <c r="H370" s="9">
        <f>SK[[#This Row],[SONDAN KALAN FİRE]]</f>
        <v>0</v>
      </c>
    </row>
    <row r="371" spans="1:8" x14ac:dyDescent="0.3">
      <c r="A371" s="12">
        <f>SK[[#This Row],[TARİH]]</f>
        <v>0</v>
      </c>
      <c r="B371" s="9">
        <f>SK[[#This Row],[TÜR]]</f>
        <v>0</v>
      </c>
      <c r="C371" s="9">
        <f>SK[[#This Row],[MALZEME ]]</f>
        <v>0</v>
      </c>
      <c r="D371" s="9">
        <f>SK[[#This Row],[KALİTE]]</f>
        <v>0</v>
      </c>
      <c r="E371" s="11">
        <f>SK[[#This Row],[FİRE]]</f>
        <v>0</v>
      </c>
      <c r="F371" s="11">
        <f>SK[[#This Row],[EŞİT FİRE]]</f>
        <v>0</v>
      </c>
      <c r="G371" s="9">
        <f>IF(MOD(SK[[#This Row],[GEREKLİ ADET]],2)=0,SK[[#This Row],[GEREKLİ ADET]],0)</f>
        <v>0</v>
      </c>
      <c r="H371" s="9">
        <f>SK[[#This Row],[SONDAN KALAN FİRE]]</f>
        <v>0</v>
      </c>
    </row>
    <row r="372" spans="1:8" x14ac:dyDescent="0.3">
      <c r="A372" s="12">
        <f>SK[[#This Row],[TARİH]]</f>
        <v>0</v>
      </c>
      <c r="B372" s="9">
        <f>SK[[#This Row],[TÜR]]</f>
        <v>0</v>
      </c>
      <c r="C372" s="9">
        <f>SK[[#This Row],[MALZEME ]]</f>
        <v>0</v>
      </c>
      <c r="D372" s="9">
        <f>SK[[#This Row],[KALİTE]]</f>
        <v>0</v>
      </c>
      <c r="E372" s="11">
        <f>SK[[#This Row],[FİRE]]</f>
        <v>0</v>
      </c>
      <c r="F372" s="11">
        <f>SK[[#This Row],[EŞİT FİRE]]</f>
        <v>0</v>
      </c>
      <c r="G372" s="9">
        <f>IF(MOD(SK[[#This Row],[GEREKLİ ADET]],2)=0,SK[[#This Row],[GEREKLİ ADET]],0)</f>
        <v>0</v>
      </c>
      <c r="H372" s="9">
        <f>SK[[#This Row],[SONDAN KALAN FİRE]]</f>
        <v>0</v>
      </c>
    </row>
    <row r="373" spans="1:8" x14ac:dyDescent="0.3">
      <c r="A373" s="12">
        <f>SK[[#This Row],[TARİH]]</f>
        <v>0</v>
      </c>
      <c r="B373" s="9">
        <f>SK[[#This Row],[TÜR]]</f>
        <v>0</v>
      </c>
      <c r="C373" s="9">
        <f>SK[[#This Row],[MALZEME ]]</f>
        <v>0</v>
      </c>
      <c r="D373" s="9">
        <f>SK[[#This Row],[KALİTE]]</f>
        <v>0</v>
      </c>
      <c r="E373" s="11">
        <f>SK[[#This Row],[FİRE]]</f>
        <v>0</v>
      </c>
      <c r="F373" s="11">
        <f>SK[[#This Row],[EŞİT FİRE]]</f>
        <v>0</v>
      </c>
      <c r="G373" s="9">
        <f>IF(MOD(SK[[#This Row],[GEREKLİ ADET]],2)=0,SK[[#This Row],[GEREKLİ ADET]],0)</f>
        <v>0</v>
      </c>
      <c r="H373" s="9">
        <f>SK[[#This Row],[SONDAN KALAN FİRE]]</f>
        <v>0</v>
      </c>
    </row>
    <row r="374" spans="1:8" x14ac:dyDescent="0.3">
      <c r="A374" s="12">
        <f>SK[[#This Row],[TARİH]]</f>
        <v>0</v>
      </c>
      <c r="B374" s="9">
        <f>SK[[#This Row],[TÜR]]</f>
        <v>0</v>
      </c>
      <c r="C374" s="9">
        <f>SK[[#This Row],[MALZEME ]]</f>
        <v>0</v>
      </c>
      <c r="D374" s="9">
        <f>SK[[#This Row],[KALİTE]]</f>
        <v>0</v>
      </c>
      <c r="E374" s="11">
        <f>SK[[#This Row],[FİRE]]</f>
        <v>0</v>
      </c>
      <c r="F374" s="11">
        <f>SK[[#This Row],[EŞİT FİRE]]</f>
        <v>0</v>
      </c>
      <c r="G374" s="9">
        <f>IF(MOD(SK[[#This Row],[GEREKLİ ADET]],2)=0,SK[[#This Row],[GEREKLİ ADET]],0)</f>
        <v>0</v>
      </c>
      <c r="H374" s="9">
        <f>SK[[#This Row],[SONDAN KALAN FİRE]]</f>
        <v>0</v>
      </c>
    </row>
    <row r="375" spans="1:8" x14ac:dyDescent="0.3">
      <c r="A375" s="12">
        <f>SK[[#This Row],[TARİH]]</f>
        <v>0</v>
      </c>
      <c r="B375" s="9">
        <f>SK[[#This Row],[TÜR]]</f>
        <v>0</v>
      </c>
      <c r="C375" s="9">
        <f>SK[[#This Row],[MALZEME ]]</f>
        <v>0</v>
      </c>
      <c r="D375" s="9">
        <f>SK[[#This Row],[KALİTE]]</f>
        <v>0</v>
      </c>
      <c r="E375" s="11">
        <f>SK[[#This Row],[FİRE]]</f>
        <v>0</v>
      </c>
      <c r="F375" s="11">
        <f>SK[[#This Row],[EŞİT FİRE]]</f>
        <v>0</v>
      </c>
      <c r="G375" s="9">
        <f>IF(MOD(SK[[#This Row],[GEREKLİ ADET]],2)=0,SK[[#This Row],[GEREKLİ ADET]],0)</f>
        <v>0</v>
      </c>
      <c r="H375" s="9">
        <f>SK[[#This Row],[SONDAN KALAN FİRE]]</f>
        <v>0</v>
      </c>
    </row>
    <row r="376" spans="1:8" x14ac:dyDescent="0.3">
      <c r="A376" s="12">
        <f>SK[[#This Row],[TARİH]]</f>
        <v>0</v>
      </c>
      <c r="B376" s="9">
        <f>SK[[#This Row],[TÜR]]</f>
        <v>0</v>
      </c>
      <c r="C376" s="9">
        <f>SK[[#This Row],[MALZEME ]]</f>
        <v>0</v>
      </c>
      <c r="D376" s="9">
        <f>SK[[#This Row],[KALİTE]]</f>
        <v>0</v>
      </c>
      <c r="E376" s="11">
        <f>SK[[#This Row],[FİRE]]</f>
        <v>0</v>
      </c>
      <c r="F376" s="11">
        <f>SK[[#This Row],[EŞİT FİRE]]</f>
        <v>0</v>
      </c>
      <c r="G376" s="9">
        <f>IF(MOD(SK[[#This Row],[GEREKLİ ADET]],2)=0,SK[[#This Row],[GEREKLİ ADET]],0)</f>
        <v>0</v>
      </c>
      <c r="H376" s="9">
        <f>SK[[#This Row],[SONDAN KALAN FİRE]]</f>
        <v>0</v>
      </c>
    </row>
    <row r="377" spans="1:8" x14ac:dyDescent="0.3">
      <c r="A377" s="12">
        <f>SK[[#This Row],[TARİH]]</f>
        <v>0</v>
      </c>
      <c r="B377" s="9">
        <f>SK[[#This Row],[TÜR]]</f>
        <v>0</v>
      </c>
      <c r="C377" s="9">
        <f>SK[[#This Row],[MALZEME ]]</f>
        <v>0</v>
      </c>
      <c r="D377" s="9">
        <f>SK[[#This Row],[KALİTE]]</f>
        <v>0</v>
      </c>
      <c r="E377" s="11">
        <f>SK[[#This Row],[FİRE]]</f>
        <v>0</v>
      </c>
      <c r="F377" s="11">
        <f>SK[[#This Row],[EŞİT FİRE]]</f>
        <v>0</v>
      </c>
      <c r="G377" s="9">
        <f>IF(MOD(SK[[#This Row],[GEREKLİ ADET]],2)=0,SK[[#This Row],[GEREKLİ ADET]],0)</f>
        <v>0</v>
      </c>
      <c r="H377" s="9">
        <f>SK[[#This Row],[SONDAN KALAN FİRE]]</f>
        <v>0</v>
      </c>
    </row>
    <row r="378" spans="1:8" x14ac:dyDescent="0.3">
      <c r="A378" s="12">
        <f>SK[[#This Row],[TARİH]]</f>
        <v>0</v>
      </c>
      <c r="B378" s="9">
        <f>SK[[#This Row],[TÜR]]</f>
        <v>0</v>
      </c>
      <c r="C378" s="9">
        <f>SK[[#This Row],[MALZEME ]]</f>
        <v>0</v>
      </c>
      <c r="D378" s="9">
        <f>SK[[#This Row],[KALİTE]]</f>
        <v>0</v>
      </c>
      <c r="E378" s="11">
        <f>SK[[#This Row],[FİRE]]</f>
        <v>0</v>
      </c>
      <c r="F378" s="11">
        <f>SK[[#This Row],[EŞİT FİRE]]</f>
        <v>0</v>
      </c>
      <c r="G378" s="9">
        <f>IF(MOD(SK[[#This Row],[GEREKLİ ADET]],2)=0,SK[[#This Row],[GEREKLİ ADET]],0)</f>
        <v>0</v>
      </c>
      <c r="H378" s="9">
        <f>SK[[#This Row],[SONDAN KALAN FİRE]]</f>
        <v>0</v>
      </c>
    </row>
    <row r="379" spans="1:8" x14ac:dyDescent="0.3">
      <c r="A379" s="12">
        <f>SK[[#This Row],[TARİH]]</f>
        <v>0</v>
      </c>
      <c r="B379" s="9">
        <f>SK[[#This Row],[TÜR]]</f>
        <v>0</v>
      </c>
      <c r="C379" s="9">
        <f>SK[[#This Row],[MALZEME ]]</f>
        <v>0</v>
      </c>
      <c r="D379" s="9">
        <f>SK[[#This Row],[KALİTE]]</f>
        <v>0</v>
      </c>
      <c r="E379" s="11">
        <f>SK[[#This Row],[FİRE]]</f>
        <v>0</v>
      </c>
      <c r="F379" s="11">
        <f>SK[[#This Row],[EŞİT FİRE]]</f>
        <v>0</v>
      </c>
      <c r="G379" s="9">
        <f>IF(MOD(SK[[#This Row],[GEREKLİ ADET]],2)=0,SK[[#This Row],[GEREKLİ ADET]],0)</f>
        <v>0</v>
      </c>
      <c r="H379" s="9">
        <f>SK[[#This Row],[SONDAN KALAN FİRE]]</f>
        <v>0</v>
      </c>
    </row>
    <row r="380" spans="1:8" x14ac:dyDescent="0.3">
      <c r="A380" s="12">
        <f>SK[[#This Row],[TARİH]]</f>
        <v>0</v>
      </c>
      <c r="B380" s="9">
        <f>SK[[#This Row],[TÜR]]</f>
        <v>0</v>
      </c>
      <c r="C380" s="9">
        <f>SK[[#This Row],[MALZEME ]]</f>
        <v>0</v>
      </c>
      <c r="D380" s="9">
        <f>SK[[#This Row],[KALİTE]]</f>
        <v>0</v>
      </c>
      <c r="E380" s="11">
        <f>SK[[#This Row],[FİRE]]</f>
        <v>0</v>
      </c>
      <c r="F380" s="11">
        <f>SK[[#This Row],[EŞİT FİRE]]</f>
        <v>0</v>
      </c>
      <c r="G380" s="9">
        <f>IF(MOD(SK[[#This Row],[GEREKLİ ADET]],2)=0,SK[[#This Row],[GEREKLİ ADET]],0)</f>
        <v>0</v>
      </c>
      <c r="H380" s="9">
        <f>SK[[#This Row],[SONDAN KALAN FİRE]]</f>
        <v>0</v>
      </c>
    </row>
    <row r="381" spans="1:8" x14ac:dyDescent="0.3">
      <c r="A381" s="12">
        <f>SK[[#This Row],[TARİH]]</f>
        <v>0</v>
      </c>
      <c r="B381" s="9">
        <f>SK[[#This Row],[TÜR]]</f>
        <v>0</v>
      </c>
      <c r="C381" s="9">
        <f>SK[[#This Row],[MALZEME ]]</f>
        <v>0</v>
      </c>
      <c r="D381" s="9">
        <f>SK[[#This Row],[KALİTE]]</f>
        <v>0</v>
      </c>
      <c r="E381" s="11">
        <f>SK[[#This Row],[FİRE]]</f>
        <v>0</v>
      </c>
      <c r="F381" s="11">
        <f>SK[[#This Row],[EŞİT FİRE]]</f>
        <v>0</v>
      </c>
      <c r="G381" s="9">
        <f>IF(MOD(SK[[#This Row],[GEREKLİ ADET]],2)=0,SK[[#This Row],[GEREKLİ ADET]],0)</f>
        <v>0</v>
      </c>
      <c r="H381" s="9">
        <f>SK[[#This Row],[SONDAN KALAN FİRE]]</f>
        <v>0</v>
      </c>
    </row>
    <row r="382" spans="1:8" x14ac:dyDescent="0.3">
      <c r="A382" s="12">
        <f>SK[[#This Row],[TARİH]]</f>
        <v>0</v>
      </c>
      <c r="B382" s="9">
        <f>SK[[#This Row],[TÜR]]</f>
        <v>0</v>
      </c>
      <c r="C382" s="9">
        <f>SK[[#This Row],[MALZEME ]]</f>
        <v>0</v>
      </c>
      <c r="D382" s="9">
        <f>SK[[#This Row],[KALİTE]]</f>
        <v>0</v>
      </c>
      <c r="E382" s="11">
        <f>SK[[#This Row],[FİRE]]</f>
        <v>0</v>
      </c>
      <c r="F382" s="11">
        <f>SK[[#This Row],[EŞİT FİRE]]</f>
        <v>0</v>
      </c>
      <c r="G382" s="9">
        <f>IF(MOD(SK[[#This Row],[GEREKLİ ADET]],2)=0,SK[[#This Row],[GEREKLİ ADET]],0)</f>
        <v>0</v>
      </c>
      <c r="H382" s="9">
        <f>SK[[#This Row],[SONDAN KALAN FİRE]]</f>
        <v>0</v>
      </c>
    </row>
    <row r="383" spans="1:8" x14ac:dyDescent="0.3">
      <c r="A383" s="12">
        <f>SK[[#This Row],[TARİH]]</f>
        <v>0</v>
      </c>
      <c r="B383" s="9">
        <f>SK[[#This Row],[TÜR]]</f>
        <v>0</v>
      </c>
      <c r="C383" s="9">
        <f>SK[[#This Row],[MALZEME ]]</f>
        <v>0</v>
      </c>
      <c r="D383" s="9">
        <f>SK[[#This Row],[KALİTE]]</f>
        <v>0</v>
      </c>
      <c r="E383" s="11">
        <f>SK[[#This Row],[FİRE]]</f>
        <v>0</v>
      </c>
      <c r="F383" s="11">
        <f>SK[[#This Row],[EŞİT FİRE]]</f>
        <v>0</v>
      </c>
      <c r="G383" s="9">
        <f>IF(MOD(SK[[#This Row],[GEREKLİ ADET]],2)=0,SK[[#This Row],[GEREKLİ ADET]],0)</f>
        <v>0</v>
      </c>
      <c r="H383" s="9">
        <f>SK[[#This Row],[SONDAN KALAN FİRE]]</f>
        <v>0</v>
      </c>
    </row>
    <row r="384" spans="1:8" x14ac:dyDescent="0.3">
      <c r="A384" s="12">
        <f>SK[[#This Row],[TARİH]]</f>
        <v>0</v>
      </c>
      <c r="B384" s="9">
        <f>SK[[#This Row],[TÜR]]</f>
        <v>0</v>
      </c>
      <c r="C384" s="9">
        <f>SK[[#This Row],[MALZEME ]]</f>
        <v>0</v>
      </c>
      <c r="D384" s="9">
        <f>SK[[#This Row],[KALİTE]]</f>
        <v>0</v>
      </c>
      <c r="E384" s="11">
        <f>SK[[#This Row],[FİRE]]</f>
        <v>0</v>
      </c>
      <c r="F384" s="11">
        <f>SK[[#This Row],[EŞİT FİRE]]</f>
        <v>0</v>
      </c>
      <c r="G384" s="9">
        <f>IF(MOD(SK[[#This Row],[GEREKLİ ADET]],2)=0,SK[[#This Row],[GEREKLİ ADET]],0)</f>
        <v>0</v>
      </c>
      <c r="H384" s="9">
        <f>SK[[#This Row],[SONDAN KALAN FİRE]]</f>
        <v>0</v>
      </c>
    </row>
    <row r="385" spans="1:8" x14ac:dyDescent="0.3">
      <c r="A385" s="12">
        <f>SK[[#This Row],[TARİH]]</f>
        <v>0</v>
      </c>
      <c r="B385" s="9">
        <f>SK[[#This Row],[TÜR]]</f>
        <v>0</v>
      </c>
      <c r="C385" s="9">
        <f>SK[[#This Row],[MALZEME ]]</f>
        <v>0</v>
      </c>
      <c r="D385" s="9">
        <f>SK[[#This Row],[KALİTE]]</f>
        <v>0</v>
      </c>
      <c r="E385" s="11">
        <f>SK[[#This Row],[FİRE]]</f>
        <v>0</v>
      </c>
      <c r="F385" s="11">
        <f>SK[[#This Row],[EŞİT FİRE]]</f>
        <v>0</v>
      </c>
      <c r="G385" s="9">
        <f>IF(MOD(SK[[#This Row],[GEREKLİ ADET]],2)=0,SK[[#This Row],[GEREKLİ ADET]],0)</f>
        <v>0</v>
      </c>
      <c r="H385" s="9">
        <f>SK[[#This Row],[SONDAN KALAN FİRE]]</f>
        <v>0</v>
      </c>
    </row>
    <row r="386" spans="1:8" x14ac:dyDescent="0.3">
      <c r="A386" s="12">
        <f>SK[[#This Row],[TARİH]]</f>
        <v>0</v>
      </c>
      <c r="B386" s="9">
        <f>SK[[#This Row],[TÜR]]</f>
        <v>0</v>
      </c>
      <c r="C386" s="9">
        <f>SK[[#This Row],[MALZEME ]]</f>
        <v>0</v>
      </c>
      <c r="D386" s="9">
        <f>SK[[#This Row],[KALİTE]]</f>
        <v>0</v>
      </c>
      <c r="E386" s="11">
        <f>SK[[#This Row],[FİRE]]</f>
        <v>0</v>
      </c>
      <c r="F386" s="11">
        <f>SK[[#This Row],[EŞİT FİRE]]</f>
        <v>0</v>
      </c>
      <c r="G386" s="9">
        <f>IF(MOD(SK[[#This Row],[GEREKLİ ADET]],2)=0,SK[[#This Row],[GEREKLİ ADET]],0)</f>
        <v>0</v>
      </c>
      <c r="H386" s="9">
        <f>SK[[#This Row],[SONDAN KALAN FİRE]]</f>
        <v>0</v>
      </c>
    </row>
    <row r="387" spans="1:8" x14ac:dyDescent="0.3">
      <c r="A387" s="12">
        <f>SK[[#This Row],[TARİH]]</f>
        <v>0</v>
      </c>
      <c r="B387" s="9">
        <f>SK[[#This Row],[TÜR]]</f>
        <v>0</v>
      </c>
      <c r="C387" s="9">
        <f>SK[[#This Row],[MALZEME ]]</f>
        <v>0</v>
      </c>
      <c r="D387" s="9">
        <f>SK[[#This Row],[KALİTE]]</f>
        <v>0</v>
      </c>
      <c r="E387" s="11">
        <f>SK[[#This Row],[FİRE]]</f>
        <v>0</v>
      </c>
      <c r="F387" s="11">
        <f>SK[[#This Row],[EŞİT FİRE]]</f>
        <v>0</v>
      </c>
      <c r="G387" s="9">
        <f>IF(MOD(SK[[#This Row],[GEREKLİ ADET]],2)=0,SK[[#This Row],[GEREKLİ ADET]],0)</f>
        <v>0</v>
      </c>
      <c r="H387" s="9">
        <f>SK[[#This Row],[SONDAN KALAN FİRE]]</f>
        <v>0</v>
      </c>
    </row>
    <row r="388" spans="1:8" x14ac:dyDescent="0.3">
      <c r="A388" s="12">
        <f>SK[[#This Row],[TARİH]]</f>
        <v>0</v>
      </c>
      <c r="B388" s="9">
        <f>SK[[#This Row],[TÜR]]</f>
        <v>0</v>
      </c>
      <c r="C388" s="9">
        <f>SK[[#This Row],[MALZEME ]]</f>
        <v>0</v>
      </c>
      <c r="D388" s="9">
        <f>SK[[#This Row],[KALİTE]]</f>
        <v>0</v>
      </c>
      <c r="E388" s="11">
        <f>SK[[#This Row],[FİRE]]</f>
        <v>0</v>
      </c>
      <c r="F388" s="11">
        <f>SK[[#This Row],[EŞİT FİRE]]</f>
        <v>0</v>
      </c>
      <c r="G388" s="9">
        <f>IF(MOD(SK[[#This Row],[GEREKLİ ADET]],2)=0,SK[[#This Row],[GEREKLİ ADET]],0)</f>
        <v>0</v>
      </c>
      <c r="H388" s="9">
        <f>SK[[#This Row],[SONDAN KALAN FİRE]]</f>
        <v>0</v>
      </c>
    </row>
    <row r="389" spans="1:8" x14ac:dyDescent="0.3">
      <c r="A389" s="12">
        <f>SK[[#This Row],[TARİH]]</f>
        <v>0</v>
      </c>
      <c r="B389" s="9">
        <f>SK[[#This Row],[TÜR]]</f>
        <v>0</v>
      </c>
      <c r="C389" s="9">
        <f>SK[[#This Row],[MALZEME ]]</f>
        <v>0</v>
      </c>
      <c r="D389" s="9">
        <f>SK[[#This Row],[KALİTE]]</f>
        <v>0</v>
      </c>
      <c r="E389" s="11">
        <f>SK[[#This Row],[FİRE]]</f>
        <v>0</v>
      </c>
      <c r="F389" s="11">
        <f>SK[[#This Row],[EŞİT FİRE]]</f>
        <v>0</v>
      </c>
      <c r="G389" s="9">
        <f>IF(MOD(SK[[#This Row],[GEREKLİ ADET]],2)=0,SK[[#This Row],[GEREKLİ ADET]],0)</f>
        <v>0</v>
      </c>
      <c r="H389" s="9">
        <f>SK[[#This Row],[SONDAN KALAN FİRE]]</f>
        <v>0</v>
      </c>
    </row>
    <row r="390" spans="1:8" x14ac:dyDescent="0.3">
      <c r="A390" s="12">
        <f>SK[[#This Row],[TARİH]]</f>
        <v>0</v>
      </c>
      <c r="B390" s="9">
        <f>SK[[#This Row],[TÜR]]</f>
        <v>0</v>
      </c>
      <c r="C390" s="9">
        <f>SK[[#This Row],[MALZEME ]]</f>
        <v>0</v>
      </c>
      <c r="D390" s="9">
        <f>SK[[#This Row],[KALİTE]]</f>
        <v>0</v>
      </c>
      <c r="E390" s="11">
        <f>SK[[#This Row],[FİRE]]</f>
        <v>0</v>
      </c>
      <c r="F390" s="11">
        <f>SK[[#This Row],[EŞİT FİRE]]</f>
        <v>0</v>
      </c>
      <c r="G390" s="9">
        <f>IF(MOD(SK[[#This Row],[GEREKLİ ADET]],2)=0,SK[[#This Row],[GEREKLİ ADET]],0)</f>
        <v>0</v>
      </c>
      <c r="H390" s="9">
        <f>SK[[#This Row],[SONDAN KALAN FİRE]]</f>
        <v>0</v>
      </c>
    </row>
    <row r="391" spans="1:8" x14ac:dyDescent="0.3">
      <c r="A391" s="12">
        <f>SK[[#This Row],[TARİH]]</f>
        <v>0</v>
      </c>
      <c r="B391" s="9">
        <f>SK[[#This Row],[TÜR]]</f>
        <v>0</v>
      </c>
      <c r="C391" s="9">
        <f>SK[[#This Row],[MALZEME ]]</f>
        <v>0</v>
      </c>
      <c r="D391" s="9">
        <f>SK[[#This Row],[KALİTE]]</f>
        <v>0</v>
      </c>
      <c r="E391" s="11">
        <f>SK[[#This Row],[FİRE]]</f>
        <v>0</v>
      </c>
      <c r="F391" s="11">
        <f>SK[[#This Row],[EŞİT FİRE]]</f>
        <v>0</v>
      </c>
      <c r="G391" s="9">
        <f>IF(MOD(SK[[#This Row],[GEREKLİ ADET]],2)=0,SK[[#This Row],[GEREKLİ ADET]],0)</f>
        <v>0</v>
      </c>
      <c r="H391" s="9">
        <f>SK[[#This Row],[SONDAN KALAN FİRE]]</f>
        <v>0</v>
      </c>
    </row>
    <row r="392" spans="1:8" x14ac:dyDescent="0.3">
      <c r="A392" s="12">
        <f>SK[[#This Row],[TARİH]]</f>
        <v>0</v>
      </c>
      <c r="B392" s="9">
        <f>SK[[#This Row],[TÜR]]</f>
        <v>0</v>
      </c>
      <c r="C392" s="9">
        <f>SK[[#This Row],[MALZEME ]]</f>
        <v>0</v>
      </c>
      <c r="D392" s="9">
        <f>SK[[#This Row],[KALİTE]]</f>
        <v>0</v>
      </c>
      <c r="E392" s="11">
        <f>SK[[#This Row],[FİRE]]</f>
        <v>0</v>
      </c>
      <c r="F392" s="11">
        <f>SK[[#This Row],[EŞİT FİRE]]</f>
        <v>0</v>
      </c>
      <c r="G392" s="9">
        <f>IF(MOD(SK[[#This Row],[GEREKLİ ADET]],2)=0,SK[[#This Row],[GEREKLİ ADET]],0)</f>
        <v>0</v>
      </c>
      <c r="H392" s="9">
        <f>SK[[#This Row],[SONDAN KALAN FİRE]]</f>
        <v>0</v>
      </c>
    </row>
    <row r="393" spans="1:8" x14ac:dyDescent="0.3">
      <c r="A393" s="12">
        <f>SK[[#This Row],[TARİH]]</f>
        <v>0</v>
      </c>
      <c r="B393" s="9">
        <f>SK[[#This Row],[TÜR]]</f>
        <v>0</v>
      </c>
      <c r="C393" s="9">
        <f>SK[[#This Row],[MALZEME ]]</f>
        <v>0</v>
      </c>
      <c r="D393" s="9">
        <f>SK[[#This Row],[KALİTE]]</f>
        <v>0</v>
      </c>
      <c r="E393" s="11">
        <f>SK[[#This Row],[FİRE]]</f>
        <v>0</v>
      </c>
      <c r="F393" s="11">
        <f>SK[[#This Row],[EŞİT FİRE]]</f>
        <v>0</v>
      </c>
      <c r="G393" s="9">
        <f>IF(MOD(SK[[#This Row],[GEREKLİ ADET]],2)=0,SK[[#This Row],[GEREKLİ ADET]],0)</f>
        <v>0</v>
      </c>
      <c r="H393" s="9">
        <f>SK[[#This Row],[SONDAN KALAN FİRE]]</f>
        <v>0</v>
      </c>
    </row>
    <row r="394" spans="1:8" x14ac:dyDescent="0.3">
      <c r="A394" s="12">
        <f>SK[[#This Row],[TARİH]]</f>
        <v>0</v>
      </c>
      <c r="B394" s="9">
        <f>SK[[#This Row],[TÜR]]</f>
        <v>0</v>
      </c>
      <c r="C394" s="9">
        <f>SK[[#This Row],[MALZEME ]]</f>
        <v>0</v>
      </c>
      <c r="D394" s="9">
        <f>SK[[#This Row],[KALİTE]]</f>
        <v>0</v>
      </c>
      <c r="E394" s="11">
        <f>SK[[#This Row],[FİRE]]</f>
        <v>0</v>
      </c>
      <c r="F394" s="11">
        <f>SK[[#This Row],[EŞİT FİRE]]</f>
        <v>0</v>
      </c>
      <c r="G394" s="9">
        <f>IF(MOD(SK[[#This Row],[GEREKLİ ADET]],2)=0,SK[[#This Row],[GEREKLİ ADET]],0)</f>
        <v>0</v>
      </c>
      <c r="H394" s="9">
        <f>SK[[#This Row],[SONDAN KALAN FİRE]]</f>
        <v>0</v>
      </c>
    </row>
    <row r="395" spans="1:8" x14ac:dyDescent="0.3">
      <c r="A395" s="12">
        <f>SK[[#This Row],[TARİH]]</f>
        <v>0</v>
      </c>
      <c r="B395" s="9">
        <f>SK[[#This Row],[TÜR]]</f>
        <v>0</v>
      </c>
      <c r="C395" s="9">
        <f>SK[[#This Row],[MALZEME ]]</f>
        <v>0</v>
      </c>
      <c r="D395" s="9">
        <f>SK[[#This Row],[KALİTE]]</f>
        <v>0</v>
      </c>
      <c r="E395" s="11">
        <f>SK[[#This Row],[FİRE]]</f>
        <v>0</v>
      </c>
      <c r="F395" s="11">
        <f>SK[[#This Row],[EŞİT FİRE]]</f>
        <v>0</v>
      </c>
      <c r="G395" s="9">
        <f>IF(MOD(SK[[#This Row],[GEREKLİ ADET]],2)=0,SK[[#This Row],[GEREKLİ ADET]],0)</f>
        <v>0</v>
      </c>
      <c r="H395" s="9">
        <f>SK[[#This Row],[SONDAN KALAN FİRE]]</f>
        <v>0</v>
      </c>
    </row>
    <row r="396" spans="1:8" x14ac:dyDescent="0.3">
      <c r="A396" s="12">
        <f>SK[[#This Row],[TARİH]]</f>
        <v>0</v>
      </c>
      <c r="B396" s="9">
        <f>SK[[#This Row],[TÜR]]</f>
        <v>0</v>
      </c>
      <c r="C396" s="9">
        <f>SK[[#This Row],[MALZEME ]]</f>
        <v>0</v>
      </c>
      <c r="D396" s="9">
        <f>SK[[#This Row],[KALİTE]]</f>
        <v>0</v>
      </c>
      <c r="E396" s="11">
        <f>SK[[#This Row],[FİRE]]</f>
        <v>0</v>
      </c>
      <c r="F396" s="11">
        <f>SK[[#This Row],[EŞİT FİRE]]</f>
        <v>0</v>
      </c>
      <c r="G396" s="9">
        <f>IF(MOD(SK[[#This Row],[GEREKLİ ADET]],2)=0,SK[[#This Row],[GEREKLİ ADET]],0)</f>
        <v>0</v>
      </c>
      <c r="H396" s="9">
        <f>SK[[#This Row],[SONDAN KALAN FİRE]]</f>
        <v>0</v>
      </c>
    </row>
    <row r="397" spans="1:8" x14ac:dyDescent="0.3">
      <c r="A397" s="12">
        <f>SK[[#This Row],[TARİH]]</f>
        <v>0</v>
      </c>
      <c r="B397" s="9">
        <f>SK[[#This Row],[TÜR]]</f>
        <v>0</v>
      </c>
      <c r="C397" s="9">
        <f>SK[[#This Row],[MALZEME ]]</f>
        <v>0</v>
      </c>
      <c r="D397" s="9">
        <f>SK[[#This Row],[KALİTE]]</f>
        <v>0</v>
      </c>
      <c r="E397" s="11">
        <f>SK[[#This Row],[FİRE]]</f>
        <v>0</v>
      </c>
      <c r="F397" s="11">
        <f>SK[[#This Row],[EŞİT FİRE]]</f>
        <v>0</v>
      </c>
      <c r="G397" s="9">
        <f>IF(MOD(SK[[#This Row],[GEREKLİ ADET]],2)=0,SK[[#This Row],[GEREKLİ ADET]],0)</f>
        <v>0</v>
      </c>
      <c r="H397" s="9">
        <f>SK[[#This Row],[SONDAN KALAN FİRE]]</f>
        <v>0</v>
      </c>
    </row>
    <row r="398" spans="1:8" x14ac:dyDescent="0.3">
      <c r="A398" s="12">
        <f>SK[[#This Row],[TARİH]]</f>
        <v>0</v>
      </c>
      <c r="B398" s="9">
        <f>SK[[#This Row],[TÜR]]</f>
        <v>0</v>
      </c>
      <c r="C398" s="9">
        <f>SK[[#This Row],[MALZEME ]]</f>
        <v>0</v>
      </c>
      <c r="D398" s="9">
        <f>SK[[#This Row],[KALİTE]]</f>
        <v>0</v>
      </c>
      <c r="E398" s="11">
        <f>SK[[#This Row],[FİRE]]</f>
        <v>0</v>
      </c>
      <c r="F398" s="11">
        <f>SK[[#This Row],[EŞİT FİRE]]</f>
        <v>0</v>
      </c>
      <c r="G398" s="9">
        <f>IF(MOD(SK[[#This Row],[GEREKLİ ADET]],2)=0,SK[[#This Row],[GEREKLİ ADET]],0)</f>
        <v>0</v>
      </c>
      <c r="H398" s="9">
        <f>SK[[#This Row],[SONDAN KALAN FİRE]]</f>
        <v>0</v>
      </c>
    </row>
    <row r="399" spans="1:8" x14ac:dyDescent="0.3">
      <c r="A399" s="12">
        <f>SK[[#This Row],[TARİH]]</f>
        <v>0</v>
      </c>
      <c r="B399" s="9">
        <f>SK[[#This Row],[TÜR]]</f>
        <v>0</v>
      </c>
      <c r="C399" s="9">
        <f>SK[[#This Row],[MALZEME ]]</f>
        <v>0</v>
      </c>
      <c r="D399" s="9">
        <f>SK[[#This Row],[KALİTE]]</f>
        <v>0</v>
      </c>
      <c r="E399" s="11">
        <f>SK[[#This Row],[FİRE]]</f>
        <v>0</v>
      </c>
      <c r="F399" s="11">
        <f>SK[[#This Row],[EŞİT FİRE]]</f>
        <v>0</v>
      </c>
      <c r="G399" s="9">
        <f>IF(MOD(SK[[#This Row],[GEREKLİ ADET]],2)=0,SK[[#This Row],[GEREKLİ ADET]],0)</f>
        <v>0</v>
      </c>
      <c r="H399" s="9">
        <f>SK[[#This Row],[SONDAN KALAN FİRE]]</f>
        <v>0</v>
      </c>
    </row>
    <row r="400" spans="1:8" x14ac:dyDescent="0.3">
      <c r="A400" s="12">
        <f>SK[[#This Row],[TARİH]]</f>
        <v>0</v>
      </c>
      <c r="B400" s="9">
        <f>SK[[#This Row],[TÜR]]</f>
        <v>0</v>
      </c>
      <c r="C400" s="9">
        <f>SK[[#This Row],[MALZEME ]]</f>
        <v>0</v>
      </c>
      <c r="D400" s="9">
        <f>SK[[#This Row],[KALİTE]]</f>
        <v>0</v>
      </c>
      <c r="E400" s="11">
        <f>SK[[#This Row],[FİRE]]</f>
        <v>0</v>
      </c>
      <c r="F400" s="11">
        <f>SK[[#This Row],[EŞİT FİRE]]</f>
        <v>0</v>
      </c>
      <c r="G400" s="9">
        <f>IF(MOD(SK[[#This Row],[GEREKLİ ADET]],2)=0,SK[[#This Row],[GEREKLİ ADET]],0)</f>
        <v>0</v>
      </c>
      <c r="H400" s="9">
        <f>SK[[#This Row],[SONDAN KALAN FİRE]]</f>
        <v>0</v>
      </c>
    </row>
    <row r="401" spans="1:8" x14ac:dyDescent="0.3">
      <c r="A401" s="12">
        <f>SK[[#This Row],[TARİH]]</f>
        <v>0</v>
      </c>
      <c r="B401" s="9">
        <f>SK[[#This Row],[TÜR]]</f>
        <v>0</v>
      </c>
      <c r="C401" s="9">
        <f>SK[[#This Row],[MALZEME ]]</f>
        <v>0</v>
      </c>
      <c r="D401" s="9">
        <f>SK[[#This Row],[KALİTE]]</f>
        <v>0</v>
      </c>
      <c r="E401" s="11">
        <f>SK[[#This Row],[FİRE]]</f>
        <v>0</v>
      </c>
      <c r="F401" s="11">
        <f>SK[[#This Row],[EŞİT FİRE]]</f>
        <v>0</v>
      </c>
      <c r="G401" s="9">
        <f>IF(MOD(SK[[#This Row],[GEREKLİ ADET]],2)=0,SK[[#This Row],[GEREKLİ ADET]],0)</f>
        <v>0</v>
      </c>
      <c r="H401" s="9">
        <f>SK[[#This Row],[SONDAN KALAN FİRE]]</f>
        <v>0</v>
      </c>
    </row>
    <row r="402" spans="1:8" x14ac:dyDescent="0.3">
      <c r="A402" s="12">
        <f>SK[[#This Row],[TARİH]]</f>
        <v>0</v>
      </c>
      <c r="B402" s="9">
        <f>SK[[#This Row],[TÜR]]</f>
        <v>0</v>
      </c>
      <c r="C402" s="9">
        <f>SK[[#This Row],[MALZEME ]]</f>
        <v>0</v>
      </c>
      <c r="D402" s="9">
        <f>SK[[#This Row],[KALİTE]]</f>
        <v>0</v>
      </c>
      <c r="E402" s="11">
        <f>SK[[#This Row],[FİRE]]</f>
        <v>0</v>
      </c>
      <c r="F402" s="11">
        <f>SK[[#This Row],[EŞİT FİRE]]</f>
        <v>0</v>
      </c>
      <c r="G402" s="9">
        <f>IF(MOD(SK[[#This Row],[GEREKLİ ADET]],2)=0,SK[[#This Row],[GEREKLİ ADET]],0)</f>
        <v>0</v>
      </c>
      <c r="H402" s="9">
        <f>SK[[#This Row],[SONDAN KALAN FİRE]]</f>
        <v>0</v>
      </c>
    </row>
    <row r="403" spans="1:8" x14ac:dyDescent="0.3">
      <c r="A403" s="12">
        <f>SK[[#This Row],[TARİH]]</f>
        <v>0</v>
      </c>
      <c r="B403" s="9">
        <f>SK[[#This Row],[TÜR]]</f>
        <v>0</v>
      </c>
      <c r="C403" s="9">
        <f>SK[[#This Row],[MALZEME ]]</f>
        <v>0</v>
      </c>
      <c r="D403" s="9">
        <f>SK[[#This Row],[KALİTE]]</f>
        <v>0</v>
      </c>
      <c r="E403" s="11">
        <f>SK[[#This Row],[FİRE]]</f>
        <v>0</v>
      </c>
      <c r="F403" s="11">
        <f>SK[[#This Row],[EŞİT FİRE]]</f>
        <v>0</v>
      </c>
      <c r="G403" s="9">
        <f>IF(MOD(SK[[#This Row],[GEREKLİ ADET]],2)=0,SK[[#This Row],[GEREKLİ ADET]],0)</f>
        <v>0</v>
      </c>
      <c r="H403" s="9">
        <f>SK[[#This Row],[SONDAN KALAN FİRE]]</f>
        <v>0</v>
      </c>
    </row>
    <row r="404" spans="1:8" x14ac:dyDescent="0.3">
      <c r="A404" s="12">
        <f>SK[[#This Row],[TARİH]]</f>
        <v>0</v>
      </c>
      <c r="B404" s="9">
        <f>SK[[#This Row],[TÜR]]</f>
        <v>0</v>
      </c>
      <c r="C404" s="9">
        <f>SK[[#This Row],[MALZEME ]]</f>
        <v>0</v>
      </c>
      <c r="D404" s="9">
        <f>SK[[#This Row],[KALİTE]]</f>
        <v>0</v>
      </c>
      <c r="E404" s="11">
        <f>SK[[#This Row],[FİRE]]</f>
        <v>0</v>
      </c>
      <c r="F404" s="11">
        <f>SK[[#This Row],[EŞİT FİRE]]</f>
        <v>0</v>
      </c>
      <c r="G404" s="9">
        <f>IF(MOD(SK[[#This Row],[GEREKLİ ADET]],2)=0,SK[[#This Row],[GEREKLİ ADET]],0)</f>
        <v>0</v>
      </c>
      <c r="H404" s="9">
        <f>SK[[#This Row],[SONDAN KALAN FİRE]]</f>
        <v>0</v>
      </c>
    </row>
    <row r="405" spans="1:8" x14ac:dyDescent="0.3">
      <c r="A405" s="12">
        <f>SK[[#This Row],[TARİH]]</f>
        <v>0</v>
      </c>
      <c r="B405" s="9">
        <f>SK[[#This Row],[TÜR]]</f>
        <v>0</v>
      </c>
      <c r="C405" s="9">
        <f>SK[[#This Row],[MALZEME ]]</f>
        <v>0</v>
      </c>
      <c r="D405" s="9">
        <f>SK[[#This Row],[KALİTE]]</f>
        <v>0</v>
      </c>
      <c r="E405" s="11">
        <f>SK[[#This Row],[FİRE]]</f>
        <v>0</v>
      </c>
      <c r="F405" s="11">
        <f>SK[[#This Row],[EŞİT FİRE]]</f>
        <v>0</v>
      </c>
      <c r="G405" s="9">
        <f>IF(MOD(SK[[#This Row],[GEREKLİ ADET]],2)=0,SK[[#This Row],[GEREKLİ ADET]],0)</f>
        <v>0</v>
      </c>
      <c r="H405" s="9">
        <f>SK[[#This Row],[SONDAN KALAN FİRE]]</f>
        <v>0</v>
      </c>
    </row>
    <row r="406" spans="1:8" x14ac:dyDescent="0.3">
      <c r="A406" s="12">
        <f>SK[[#This Row],[TARİH]]</f>
        <v>0</v>
      </c>
      <c r="B406" s="9">
        <f>SK[[#This Row],[TÜR]]</f>
        <v>0</v>
      </c>
      <c r="C406" s="9">
        <f>SK[[#This Row],[MALZEME ]]</f>
        <v>0</v>
      </c>
      <c r="D406" s="9">
        <f>SK[[#This Row],[KALİTE]]</f>
        <v>0</v>
      </c>
      <c r="E406" s="11">
        <f>SK[[#This Row],[FİRE]]</f>
        <v>0</v>
      </c>
      <c r="F406" s="11">
        <f>SK[[#This Row],[EŞİT FİRE]]</f>
        <v>0</v>
      </c>
      <c r="G406" s="9">
        <f>IF(MOD(SK[[#This Row],[GEREKLİ ADET]],2)=0,SK[[#This Row],[GEREKLİ ADET]],0)</f>
        <v>0</v>
      </c>
      <c r="H406" s="9">
        <f>SK[[#This Row],[SONDAN KALAN FİRE]]</f>
        <v>0</v>
      </c>
    </row>
    <row r="407" spans="1:8" x14ac:dyDescent="0.3">
      <c r="A407" s="12">
        <f>SK[[#This Row],[TARİH]]</f>
        <v>0</v>
      </c>
      <c r="B407" s="9">
        <f>SK[[#This Row],[TÜR]]</f>
        <v>0</v>
      </c>
      <c r="C407" s="9">
        <f>SK[[#This Row],[MALZEME ]]</f>
        <v>0</v>
      </c>
      <c r="D407" s="9">
        <f>SK[[#This Row],[KALİTE]]</f>
        <v>0</v>
      </c>
      <c r="E407" s="11">
        <f>SK[[#This Row],[FİRE]]</f>
        <v>0</v>
      </c>
      <c r="F407" s="11">
        <f>SK[[#This Row],[EŞİT FİRE]]</f>
        <v>0</v>
      </c>
      <c r="G407" s="9">
        <f>IF(MOD(SK[[#This Row],[GEREKLİ ADET]],2)=0,SK[[#This Row],[GEREKLİ ADET]],0)</f>
        <v>0</v>
      </c>
      <c r="H407" s="9">
        <f>SK[[#This Row],[SONDAN KALAN FİRE]]</f>
        <v>0</v>
      </c>
    </row>
    <row r="408" spans="1:8" x14ac:dyDescent="0.3">
      <c r="A408" s="12">
        <f>SK[[#This Row],[TARİH]]</f>
        <v>0</v>
      </c>
      <c r="B408" s="9">
        <f>SK[[#This Row],[TÜR]]</f>
        <v>0</v>
      </c>
      <c r="C408" s="9">
        <f>SK[[#This Row],[MALZEME ]]</f>
        <v>0</v>
      </c>
      <c r="D408" s="9">
        <f>SK[[#This Row],[KALİTE]]</f>
        <v>0</v>
      </c>
      <c r="E408" s="11">
        <f>SK[[#This Row],[FİRE]]</f>
        <v>0</v>
      </c>
      <c r="F408" s="11">
        <f>SK[[#This Row],[EŞİT FİRE]]</f>
        <v>0</v>
      </c>
      <c r="G408" s="9">
        <f>IF(MOD(SK[[#This Row],[GEREKLİ ADET]],2)=0,SK[[#This Row],[GEREKLİ ADET]],0)</f>
        <v>0</v>
      </c>
      <c r="H408" s="9">
        <f>SK[[#This Row],[SONDAN KALAN FİRE]]</f>
        <v>0</v>
      </c>
    </row>
    <row r="409" spans="1:8" x14ac:dyDescent="0.3">
      <c r="A409" s="12">
        <f>SK[[#This Row],[TARİH]]</f>
        <v>0</v>
      </c>
      <c r="B409" s="9">
        <f>SK[[#This Row],[TÜR]]</f>
        <v>0</v>
      </c>
      <c r="C409" s="9">
        <f>SK[[#This Row],[MALZEME ]]</f>
        <v>0</v>
      </c>
      <c r="D409" s="9">
        <f>SK[[#This Row],[KALİTE]]</f>
        <v>0</v>
      </c>
      <c r="E409" s="11">
        <f>SK[[#This Row],[FİRE]]</f>
        <v>0</v>
      </c>
      <c r="F409" s="11">
        <f>SK[[#This Row],[EŞİT FİRE]]</f>
        <v>0</v>
      </c>
      <c r="G409" s="9">
        <f>IF(MOD(SK[[#This Row],[GEREKLİ ADET]],2)=0,SK[[#This Row],[GEREKLİ ADET]],0)</f>
        <v>0</v>
      </c>
      <c r="H409" s="9">
        <f>SK[[#This Row],[SONDAN KALAN FİRE]]</f>
        <v>0</v>
      </c>
    </row>
    <row r="410" spans="1:8" x14ac:dyDescent="0.3">
      <c r="A410" s="12">
        <f>SK[[#This Row],[TARİH]]</f>
        <v>0</v>
      </c>
      <c r="B410" s="9">
        <f>SK[[#This Row],[TÜR]]</f>
        <v>0</v>
      </c>
      <c r="C410" s="9">
        <f>SK[[#This Row],[MALZEME ]]</f>
        <v>0</v>
      </c>
      <c r="D410" s="9">
        <f>SK[[#This Row],[KALİTE]]</f>
        <v>0</v>
      </c>
      <c r="E410" s="11">
        <f>SK[[#This Row],[FİRE]]</f>
        <v>0</v>
      </c>
      <c r="F410" s="11">
        <f>SK[[#This Row],[EŞİT FİRE]]</f>
        <v>0</v>
      </c>
      <c r="G410" s="9">
        <f>IF(MOD(SK[[#This Row],[GEREKLİ ADET]],2)=0,SK[[#This Row],[GEREKLİ ADET]],0)</f>
        <v>0</v>
      </c>
      <c r="H410" s="9">
        <f>SK[[#This Row],[SONDAN KALAN FİRE]]</f>
        <v>0</v>
      </c>
    </row>
    <row r="411" spans="1:8" x14ac:dyDescent="0.3">
      <c r="A411" s="12">
        <f>SK[[#This Row],[TARİH]]</f>
        <v>0</v>
      </c>
      <c r="B411" s="9">
        <f>SK[[#This Row],[TÜR]]</f>
        <v>0</v>
      </c>
      <c r="C411" s="9">
        <f>SK[[#This Row],[MALZEME ]]</f>
        <v>0</v>
      </c>
      <c r="D411" s="9">
        <f>SK[[#This Row],[KALİTE]]</f>
        <v>0</v>
      </c>
      <c r="E411" s="11">
        <f>SK[[#This Row],[FİRE]]</f>
        <v>0</v>
      </c>
      <c r="F411" s="11">
        <f>SK[[#This Row],[EŞİT FİRE]]</f>
        <v>0</v>
      </c>
      <c r="G411" s="9">
        <f>IF(MOD(SK[[#This Row],[GEREKLİ ADET]],2)=0,SK[[#This Row],[GEREKLİ ADET]],0)</f>
        <v>0</v>
      </c>
      <c r="H411" s="9">
        <f>SK[[#This Row],[SONDAN KALAN FİRE]]</f>
        <v>0</v>
      </c>
    </row>
    <row r="412" spans="1:8" x14ac:dyDescent="0.3">
      <c r="A412" s="12">
        <f>SK[[#This Row],[TARİH]]</f>
        <v>0</v>
      </c>
      <c r="B412" s="9">
        <f>SK[[#This Row],[TÜR]]</f>
        <v>0</v>
      </c>
      <c r="C412" s="9">
        <f>SK[[#This Row],[MALZEME ]]</f>
        <v>0</v>
      </c>
      <c r="D412" s="9">
        <f>SK[[#This Row],[KALİTE]]</f>
        <v>0</v>
      </c>
      <c r="E412" s="11">
        <f>SK[[#This Row],[FİRE]]</f>
        <v>0</v>
      </c>
      <c r="F412" s="11">
        <f>SK[[#This Row],[EŞİT FİRE]]</f>
        <v>0</v>
      </c>
      <c r="G412" s="9">
        <f>IF(MOD(SK[[#This Row],[GEREKLİ ADET]],2)=0,SK[[#This Row],[GEREKLİ ADET]],0)</f>
        <v>0</v>
      </c>
      <c r="H412" s="9">
        <f>SK[[#This Row],[SONDAN KALAN FİRE]]</f>
        <v>0</v>
      </c>
    </row>
    <row r="413" spans="1:8" x14ac:dyDescent="0.3">
      <c r="A413" s="12">
        <f>SK[[#This Row],[TARİH]]</f>
        <v>0</v>
      </c>
      <c r="B413" s="9">
        <f>SK[[#This Row],[TÜR]]</f>
        <v>0</v>
      </c>
      <c r="C413" s="9">
        <f>SK[[#This Row],[MALZEME ]]</f>
        <v>0</v>
      </c>
      <c r="D413" s="9">
        <f>SK[[#This Row],[KALİTE]]</f>
        <v>0</v>
      </c>
      <c r="E413" s="11">
        <f>SK[[#This Row],[FİRE]]</f>
        <v>0</v>
      </c>
      <c r="F413" s="11">
        <f>SK[[#This Row],[EŞİT FİRE]]</f>
        <v>0</v>
      </c>
      <c r="G413" s="9">
        <f>IF(MOD(SK[[#This Row],[GEREKLİ ADET]],2)=0,SK[[#This Row],[GEREKLİ ADET]],0)</f>
        <v>0</v>
      </c>
      <c r="H413" s="9">
        <f>SK[[#This Row],[SONDAN KALAN FİRE]]</f>
        <v>0</v>
      </c>
    </row>
    <row r="414" spans="1:8" x14ac:dyDescent="0.3">
      <c r="A414" s="12">
        <f>SK[[#This Row],[TARİH]]</f>
        <v>0</v>
      </c>
      <c r="B414" s="9">
        <f>SK[[#This Row],[TÜR]]</f>
        <v>0</v>
      </c>
      <c r="C414" s="9">
        <f>SK[[#This Row],[MALZEME ]]</f>
        <v>0</v>
      </c>
      <c r="D414" s="9">
        <f>SK[[#This Row],[KALİTE]]</f>
        <v>0</v>
      </c>
      <c r="E414" s="11">
        <f>SK[[#This Row],[FİRE]]</f>
        <v>0</v>
      </c>
      <c r="F414" s="11">
        <f>SK[[#This Row],[EŞİT FİRE]]</f>
        <v>0</v>
      </c>
      <c r="G414" s="9">
        <f>IF(MOD(SK[[#This Row],[GEREKLİ ADET]],2)=0,SK[[#This Row],[GEREKLİ ADET]],0)</f>
        <v>0</v>
      </c>
      <c r="H414" s="9">
        <f>SK[[#This Row],[SONDAN KALAN FİRE]]</f>
        <v>0</v>
      </c>
    </row>
    <row r="415" spans="1:8" x14ac:dyDescent="0.3">
      <c r="A415" s="12">
        <f>SK[[#This Row],[TARİH]]</f>
        <v>0</v>
      </c>
      <c r="B415" s="9">
        <f>SK[[#This Row],[TÜR]]</f>
        <v>0</v>
      </c>
      <c r="C415" s="9">
        <f>SK[[#This Row],[MALZEME ]]</f>
        <v>0</v>
      </c>
      <c r="D415" s="9">
        <f>SK[[#This Row],[KALİTE]]</f>
        <v>0</v>
      </c>
      <c r="E415" s="11">
        <f>SK[[#This Row],[FİRE]]</f>
        <v>0</v>
      </c>
      <c r="F415" s="11">
        <f>SK[[#This Row],[EŞİT FİRE]]</f>
        <v>0</v>
      </c>
      <c r="G415" s="9">
        <f>IF(MOD(SK[[#This Row],[GEREKLİ ADET]],2)=0,SK[[#This Row],[GEREKLİ ADET]],0)</f>
        <v>0</v>
      </c>
      <c r="H415" s="9">
        <f>SK[[#This Row],[SONDAN KALAN FİRE]]</f>
        <v>0</v>
      </c>
    </row>
    <row r="416" spans="1:8" x14ac:dyDescent="0.3">
      <c r="A416" s="12">
        <f>SK[[#This Row],[TARİH]]</f>
        <v>0</v>
      </c>
      <c r="B416" s="9">
        <f>SK[[#This Row],[TÜR]]</f>
        <v>0</v>
      </c>
      <c r="C416" s="9">
        <f>SK[[#This Row],[MALZEME ]]</f>
        <v>0</v>
      </c>
      <c r="D416" s="9">
        <f>SK[[#This Row],[KALİTE]]</f>
        <v>0</v>
      </c>
      <c r="E416" s="11">
        <f>SK[[#This Row],[FİRE]]</f>
        <v>0</v>
      </c>
      <c r="F416" s="11">
        <f>SK[[#This Row],[EŞİT FİRE]]</f>
        <v>0</v>
      </c>
      <c r="G416" s="9">
        <f>IF(MOD(SK[[#This Row],[GEREKLİ ADET]],2)=0,SK[[#This Row],[GEREKLİ ADET]],0)</f>
        <v>0</v>
      </c>
      <c r="H416" s="9">
        <f>SK[[#This Row],[SONDAN KALAN FİRE]]</f>
        <v>0</v>
      </c>
    </row>
    <row r="417" spans="1:8" x14ac:dyDescent="0.3">
      <c r="A417" s="12">
        <f>SK[[#This Row],[TARİH]]</f>
        <v>0</v>
      </c>
      <c r="B417" s="9">
        <f>SK[[#This Row],[TÜR]]</f>
        <v>0</v>
      </c>
      <c r="C417" s="9">
        <f>SK[[#This Row],[MALZEME ]]</f>
        <v>0</v>
      </c>
      <c r="D417" s="9">
        <f>SK[[#This Row],[KALİTE]]</f>
        <v>0</v>
      </c>
      <c r="E417" s="11">
        <f>SK[[#This Row],[FİRE]]</f>
        <v>0</v>
      </c>
      <c r="F417" s="11">
        <f>SK[[#This Row],[EŞİT FİRE]]</f>
        <v>0</v>
      </c>
      <c r="G417" s="9">
        <f>IF(MOD(SK[[#This Row],[GEREKLİ ADET]],2)=0,SK[[#This Row],[GEREKLİ ADET]],0)</f>
        <v>0</v>
      </c>
      <c r="H417" s="9">
        <f>SK[[#This Row],[SONDAN KALAN FİRE]]</f>
        <v>0</v>
      </c>
    </row>
    <row r="418" spans="1:8" x14ac:dyDescent="0.3">
      <c r="A418" s="12">
        <f>SK[[#This Row],[TARİH]]</f>
        <v>0</v>
      </c>
      <c r="B418" s="9">
        <f>SK[[#This Row],[TÜR]]</f>
        <v>0</v>
      </c>
      <c r="C418" s="9">
        <f>SK[[#This Row],[MALZEME ]]</f>
        <v>0</v>
      </c>
      <c r="D418" s="9">
        <f>SK[[#This Row],[KALİTE]]</f>
        <v>0</v>
      </c>
      <c r="E418" s="11">
        <f>SK[[#This Row],[FİRE]]</f>
        <v>0</v>
      </c>
      <c r="F418" s="11">
        <f>SK[[#This Row],[EŞİT FİRE]]</f>
        <v>0</v>
      </c>
      <c r="G418" s="9">
        <f>IF(MOD(SK[[#This Row],[GEREKLİ ADET]],2)=0,SK[[#This Row],[GEREKLİ ADET]],0)</f>
        <v>0</v>
      </c>
      <c r="H418" s="9">
        <f>SK[[#This Row],[SONDAN KALAN FİRE]]</f>
        <v>0</v>
      </c>
    </row>
    <row r="419" spans="1:8" x14ac:dyDescent="0.3">
      <c r="A419" s="12">
        <f>SK[[#This Row],[TARİH]]</f>
        <v>0</v>
      </c>
      <c r="B419" s="9">
        <f>SK[[#This Row],[TÜR]]</f>
        <v>0</v>
      </c>
      <c r="C419" s="9">
        <f>SK[[#This Row],[MALZEME ]]</f>
        <v>0</v>
      </c>
      <c r="D419" s="9">
        <f>SK[[#This Row],[KALİTE]]</f>
        <v>0</v>
      </c>
      <c r="E419" s="11">
        <f>SK[[#This Row],[FİRE]]</f>
        <v>0</v>
      </c>
      <c r="F419" s="11">
        <f>SK[[#This Row],[EŞİT FİRE]]</f>
        <v>0</v>
      </c>
      <c r="G419" s="9">
        <f>IF(MOD(SK[[#This Row],[GEREKLİ ADET]],2)=0,SK[[#This Row],[GEREKLİ ADET]],0)</f>
        <v>0</v>
      </c>
      <c r="H419" s="9">
        <f>SK[[#This Row],[SONDAN KALAN FİRE]]</f>
        <v>0</v>
      </c>
    </row>
    <row r="420" spans="1:8" x14ac:dyDescent="0.3">
      <c r="A420" s="12">
        <f>SK[[#This Row],[TARİH]]</f>
        <v>0</v>
      </c>
      <c r="B420" s="9">
        <f>SK[[#This Row],[TÜR]]</f>
        <v>0</v>
      </c>
      <c r="C420" s="9">
        <f>SK[[#This Row],[MALZEME ]]</f>
        <v>0</v>
      </c>
      <c r="D420" s="9">
        <f>SK[[#This Row],[KALİTE]]</f>
        <v>0</v>
      </c>
      <c r="E420" s="11">
        <f>SK[[#This Row],[FİRE]]</f>
        <v>0</v>
      </c>
      <c r="F420" s="11">
        <f>SK[[#This Row],[EŞİT FİRE]]</f>
        <v>0</v>
      </c>
      <c r="G420" s="9">
        <f>IF(MOD(SK[[#This Row],[GEREKLİ ADET]],2)=0,SK[[#This Row],[GEREKLİ ADET]],0)</f>
        <v>0</v>
      </c>
      <c r="H420" s="9">
        <f>SK[[#This Row],[SONDAN KALAN FİRE]]</f>
        <v>0</v>
      </c>
    </row>
    <row r="421" spans="1:8" x14ac:dyDescent="0.3">
      <c r="A421" s="12">
        <f>SK[[#This Row],[TARİH]]</f>
        <v>0</v>
      </c>
      <c r="B421" s="9">
        <f>SK[[#This Row],[TÜR]]</f>
        <v>0</v>
      </c>
      <c r="C421" s="9">
        <f>SK[[#This Row],[MALZEME ]]</f>
        <v>0</v>
      </c>
      <c r="D421" s="9">
        <f>SK[[#This Row],[KALİTE]]</f>
        <v>0</v>
      </c>
      <c r="E421" s="11">
        <f>SK[[#This Row],[FİRE]]</f>
        <v>0</v>
      </c>
      <c r="F421" s="11">
        <f>SK[[#This Row],[EŞİT FİRE]]</f>
        <v>0</v>
      </c>
      <c r="G421" s="9">
        <f>IF(MOD(SK[[#This Row],[GEREKLİ ADET]],2)=0,SK[[#This Row],[GEREKLİ ADET]],0)</f>
        <v>0</v>
      </c>
      <c r="H421" s="9">
        <f>SK[[#This Row],[SONDAN KALAN FİRE]]</f>
        <v>0</v>
      </c>
    </row>
    <row r="422" spans="1:8" x14ac:dyDescent="0.3">
      <c r="A422" s="12">
        <f>SK[[#This Row],[TARİH]]</f>
        <v>0</v>
      </c>
      <c r="B422" s="9">
        <f>SK[[#This Row],[TÜR]]</f>
        <v>0</v>
      </c>
      <c r="C422" s="9">
        <f>SK[[#This Row],[MALZEME ]]</f>
        <v>0</v>
      </c>
      <c r="D422" s="9">
        <f>SK[[#This Row],[KALİTE]]</f>
        <v>0</v>
      </c>
      <c r="E422" s="11">
        <f>SK[[#This Row],[FİRE]]</f>
        <v>0</v>
      </c>
      <c r="F422" s="11">
        <f>SK[[#This Row],[EŞİT FİRE]]</f>
        <v>0</v>
      </c>
      <c r="G422" s="9">
        <f>IF(MOD(SK[[#This Row],[GEREKLİ ADET]],2)=0,SK[[#This Row],[GEREKLİ ADET]],0)</f>
        <v>0</v>
      </c>
      <c r="H422" s="9">
        <f>SK[[#This Row],[SONDAN KALAN FİRE]]</f>
        <v>0</v>
      </c>
    </row>
    <row r="423" spans="1:8" x14ac:dyDescent="0.3">
      <c r="A423" s="12">
        <f>SK[[#This Row],[TARİH]]</f>
        <v>0</v>
      </c>
      <c r="B423" s="9">
        <f>SK[[#This Row],[TÜR]]</f>
        <v>0</v>
      </c>
      <c r="C423" s="9">
        <f>SK[[#This Row],[MALZEME ]]</f>
        <v>0</v>
      </c>
      <c r="D423" s="9">
        <f>SK[[#This Row],[KALİTE]]</f>
        <v>0</v>
      </c>
      <c r="E423" s="11">
        <f>SK[[#This Row],[FİRE]]</f>
        <v>0</v>
      </c>
      <c r="F423" s="11">
        <f>SK[[#This Row],[EŞİT FİRE]]</f>
        <v>0</v>
      </c>
      <c r="G423" s="9">
        <f>IF(MOD(SK[[#This Row],[GEREKLİ ADET]],2)=0,SK[[#This Row],[GEREKLİ ADET]],0)</f>
        <v>0</v>
      </c>
      <c r="H423" s="9">
        <f>SK[[#This Row],[SONDAN KALAN FİRE]]</f>
        <v>0</v>
      </c>
    </row>
    <row r="424" spans="1:8" x14ac:dyDescent="0.3">
      <c r="A424" s="12">
        <f>SK[[#This Row],[TARİH]]</f>
        <v>0</v>
      </c>
      <c r="B424" s="9">
        <f>SK[[#This Row],[TÜR]]</f>
        <v>0</v>
      </c>
      <c r="C424" s="9">
        <f>SK[[#This Row],[MALZEME ]]</f>
        <v>0</v>
      </c>
      <c r="D424" s="9">
        <f>SK[[#This Row],[KALİTE]]</f>
        <v>0</v>
      </c>
      <c r="E424" s="11">
        <f>SK[[#This Row],[FİRE]]</f>
        <v>0</v>
      </c>
      <c r="F424" s="11">
        <f>SK[[#This Row],[EŞİT FİRE]]</f>
        <v>0</v>
      </c>
      <c r="G424" s="9">
        <f>IF(MOD(SK[[#This Row],[GEREKLİ ADET]],2)=0,SK[[#This Row],[GEREKLİ ADET]],0)</f>
        <v>0</v>
      </c>
      <c r="H424" s="9">
        <f>SK[[#This Row],[SONDAN KALAN FİRE]]</f>
        <v>0</v>
      </c>
    </row>
    <row r="425" spans="1:8" x14ac:dyDescent="0.3">
      <c r="A425" s="12">
        <f>SK[[#This Row],[TARİH]]</f>
        <v>0</v>
      </c>
      <c r="B425" s="9">
        <f>SK[[#This Row],[TÜR]]</f>
        <v>0</v>
      </c>
      <c r="C425" s="9">
        <f>SK[[#This Row],[MALZEME ]]</f>
        <v>0</v>
      </c>
      <c r="D425" s="9">
        <f>SK[[#This Row],[KALİTE]]</f>
        <v>0</v>
      </c>
      <c r="E425" s="11">
        <f>SK[[#This Row],[FİRE]]</f>
        <v>0</v>
      </c>
      <c r="F425" s="11">
        <f>SK[[#This Row],[EŞİT FİRE]]</f>
        <v>0</v>
      </c>
      <c r="G425" s="9">
        <f>IF(MOD(SK[[#This Row],[GEREKLİ ADET]],2)=0,SK[[#This Row],[GEREKLİ ADET]],0)</f>
        <v>0</v>
      </c>
      <c r="H425" s="9">
        <f>SK[[#This Row],[SONDAN KALAN FİRE]]</f>
        <v>0</v>
      </c>
    </row>
    <row r="426" spans="1:8" x14ac:dyDescent="0.3">
      <c r="A426" s="12">
        <f>SK[[#This Row],[TARİH]]</f>
        <v>0</v>
      </c>
      <c r="B426" s="9">
        <f>SK[[#This Row],[TÜR]]</f>
        <v>0</v>
      </c>
      <c r="C426" s="9">
        <f>SK[[#This Row],[MALZEME ]]</f>
        <v>0</v>
      </c>
      <c r="D426" s="9">
        <f>SK[[#This Row],[KALİTE]]</f>
        <v>0</v>
      </c>
      <c r="E426" s="11">
        <f>SK[[#This Row],[FİRE]]</f>
        <v>0</v>
      </c>
      <c r="F426" s="11">
        <f>SK[[#This Row],[EŞİT FİRE]]</f>
        <v>0</v>
      </c>
      <c r="G426" s="9">
        <f>IF(MOD(SK[[#This Row],[GEREKLİ ADET]],2)=0,SK[[#This Row],[GEREKLİ ADET]],0)</f>
        <v>0</v>
      </c>
      <c r="H426" s="9">
        <f>SK[[#This Row],[SONDAN KALAN FİRE]]</f>
        <v>0</v>
      </c>
    </row>
    <row r="427" spans="1:8" x14ac:dyDescent="0.3">
      <c r="A427" s="12">
        <f>SK[[#This Row],[TARİH]]</f>
        <v>0</v>
      </c>
      <c r="B427" s="9">
        <f>SK[[#This Row],[TÜR]]</f>
        <v>0</v>
      </c>
      <c r="C427" s="9">
        <f>SK[[#This Row],[MALZEME ]]</f>
        <v>0</v>
      </c>
      <c r="D427" s="9">
        <f>SK[[#This Row],[KALİTE]]</f>
        <v>0</v>
      </c>
      <c r="E427" s="11">
        <f>SK[[#This Row],[FİRE]]</f>
        <v>0</v>
      </c>
      <c r="F427" s="11">
        <f>SK[[#This Row],[EŞİT FİRE]]</f>
        <v>0</v>
      </c>
      <c r="G427" s="9">
        <f>IF(MOD(SK[[#This Row],[GEREKLİ ADET]],2)=0,SK[[#This Row],[GEREKLİ ADET]],0)</f>
        <v>0</v>
      </c>
      <c r="H427" s="9">
        <f>SK[[#This Row],[SONDAN KALAN FİRE]]</f>
        <v>0</v>
      </c>
    </row>
    <row r="428" spans="1:8" x14ac:dyDescent="0.3">
      <c r="A428" s="12">
        <f>SK[[#This Row],[TARİH]]</f>
        <v>0</v>
      </c>
      <c r="B428" s="9">
        <f>SK[[#This Row],[TÜR]]</f>
        <v>0</v>
      </c>
      <c r="C428" s="9">
        <f>SK[[#This Row],[MALZEME ]]</f>
        <v>0</v>
      </c>
      <c r="D428" s="9">
        <f>SK[[#This Row],[KALİTE]]</f>
        <v>0</v>
      </c>
      <c r="E428" s="11">
        <f>SK[[#This Row],[FİRE]]</f>
        <v>0</v>
      </c>
      <c r="F428" s="11">
        <f>SK[[#This Row],[EŞİT FİRE]]</f>
        <v>0</v>
      </c>
      <c r="G428" s="9">
        <f>IF(MOD(SK[[#This Row],[GEREKLİ ADET]],2)=0,SK[[#This Row],[GEREKLİ ADET]],0)</f>
        <v>0</v>
      </c>
      <c r="H428" s="9">
        <f>SK[[#This Row],[SONDAN KALAN FİRE]]</f>
        <v>0</v>
      </c>
    </row>
    <row r="429" spans="1:8" x14ac:dyDescent="0.3">
      <c r="A429" s="12">
        <f>SK[[#This Row],[TARİH]]</f>
        <v>0</v>
      </c>
      <c r="B429" s="9">
        <f>SK[[#This Row],[TÜR]]</f>
        <v>0</v>
      </c>
      <c r="C429" s="9">
        <f>SK[[#This Row],[MALZEME ]]</f>
        <v>0</v>
      </c>
      <c r="D429" s="9">
        <f>SK[[#This Row],[KALİTE]]</f>
        <v>0</v>
      </c>
      <c r="E429" s="11">
        <f>SK[[#This Row],[FİRE]]</f>
        <v>0</v>
      </c>
      <c r="F429" s="11">
        <f>SK[[#This Row],[EŞİT FİRE]]</f>
        <v>0</v>
      </c>
      <c r="G429" s="9">
        <f>IF(MOD(SK[[#This Row],[GEREKLİ ADET]],2)=0,SK[[#This Row],[GEREKLİ ADET]],0)</f>
        <v>0</v>
      </c>
      <c r="H429" s="9">
        <f>SK[[#This Row],[SONDAN KALAN FİRE]]</f>
        <v>0</v>
      </c>
    </row>
    <row r="430" spans="1:8" x14ac:dyDescent="0.3">
      <c r="A430" s="12">
        <f>SK[[#This Row],[TARİH]]</f>
        <v>0</v>
      </c>
      <c r="B430" s="9">
        <f>SK[[#This Row],[TÜR]]</f>
        <v>0</v>
      </c>
      <c r="C430" s="9">
        <f>SK[[#This Row],[MALZEME ]]</f>
        <v>0</v>
      </c>
      <c r="D430" s="9">
        <f>SK[[#This Row],[KALİTE]]</f>
        <v>0</v>
      </c>
      <c r="E430" s="11">
        <f>SK[[#This Row],[FİRE]]</f>
        <v>0</v>
      </c>
      <c r="F430" s="11">
        <f>SK[[#This Row],[EŞİT FİRE]]</f>
        <v>0</v>
      </c>
      <c r="G430" s="9">
        <f>IF(MOD(SK[[#This Row],[GEREKLİ ADET]],2)=0,SK[[#This Row],[GEREKLİ ADET]],0)</f>
        <v>0</v>
      </c>
      <c r="H430" s="9">
        <f>SK[[#This Row],[SONDAN KALAN FİRE]]</f>
        <v>0</v>
      </c>
    </row>
    <row r="431" spans="1:8" x14ac:dyDescent="0.3">
      <c r="A431" s="12">
        <f>SK[[#This Row],[TARİH]]</f>
        <v>0</v>
      </c>
      <c r="B431" s="9">
        <f>SK[[#This Row],[TÜR]]</f>
        <v>0</v>
      </c>
      <c r="C431" s="9">
        <f>SK[[#This Row],[MALZEME ]]</f>
        <v>0</v>
      </c>
      <c r="D431" s="9">
        <f>SK[[#This Row],[KALİTE]]</f>
        <v>0</v>
      </c>
      <c r="E431" s="11">
        <f>SK[[#This Row],[FİRE]]</f>
        <v>0</v>
      </c>
      <c r="F431" s="11">
        <f>SK[[#This Row],[EŞİT FİRE]]</f>
        <v>0</v>
      </c>
      <c r="G431" s="9">
        <f>IF(MOD(SK[[#This Row],[GEREKLİ ADET]],2)=0,SK[[#This Row],[GEREKLİ ADET]],0)</f>
        <v>0</v>
      </c>
      <c r="H431" s="9">
        <f>SK[[#This Row],[SONDAN KALAN FİRE]]</f>
        <v>0</v>
      </c>
    </row>
    <row r="432" spans="1:8" x14ac:dyDescent="0.3">
      <c r="A432" s="12">
        <f>SK[[#This Row],[TARİH]]</f>
        <v>0</v>
      </c>
      <c r="B432" s="9">
        <f>SK[[#This Row],[TÜR]]</f>
        <v>0</v>
      </c>
      <c r="C432" s="9">
        <f>SK[[#This Row],[MALZEME ]]</f>
        <v>0</v>
      </c>
      <c r="D432" s="9">
        <f>SK[[#This Row],[KALİTE]]</f>
        <v>0</v>
      </c>
      <c r="E432" s="11">
        <f>SK[[#This Row],[FİRE]]</f>
        <v>0</v>
      </c>
      <c r="F432" s="11">
        <f>SK[[#This Row],[EŞİT FİRE]]</f>
        <v>0</v>
      </c>
      <c r="G432" s="9">
        <f>IF(MOD(SK[[#This Row],[GEREKLİ ADET]],2)=0,SK[[#This Row],[GEREKLİ ADET]],0)</f>
        <v>0</v>
      </c>
      <c r="H432" s="9">
        <f>SK[[#This Row],[SONDAN KALAN FİRE]]</f>
        <v>0</v>
      </c>
    </row>
    <row r="433" spans="1:8" x14ac:dyDescent="0.3">
      <c r="A433" s="12">
        <f>SK[[#This Row],[TARİH]]</f>
        <v>0</v>
      </c>
      <c r="B433" s="9">
        <f>SK[[#This Row],[TÜR]]</f>
        <v>0</v>
      </c>
      <c r="C433" s="9">
        <f>SK[[#This Row],[MALZEME ]]</f>
        <v>0</v>
      </c>
      <c r="D433" s="9">
        <f>SK[[#This Row],[KALİTE]]</f>
        <v>0</v>
      </c>
      <c r="E433" s="11">
        <f>SK[[#This Row],[FİRE]]</f>
        <v>0</v>
      </c>
      <c r="F433" s="11">
        <f>SK[[#This Row],[EŞİT FİRE]]</f>
        <v>0</v>
      </c>
      <c r="G433" s="9">
        <f>IF(MOD(SK[[#This Row],[GEREKLİ ADET]],2)=0,SK[[#This Row],[GEREKLİ ADET]],0)</f>
        <v>0</v>
      </c>
      <c r="H433" s="9">
        <f>SK[[#This Row],[SONDAN KALAN FİRE]]</f>
        <v>0</v>
      </c>
    </row>
    <row r="434" spans="1:8" x14ac:dyDescent="0.3">
      <c r="A434" s="12">
        <f>SK[[#This Row],[TARİH]]</f>
        <v>0</v>
      </c>
      <c r="B434" s="9">
        <f>SK[[#This Row],[TÜR]]</f>
        <v>0</v>
      </c>
      <c r="C434" s="9">
        <f>SK[[#This Row],[MALZEME ]]</f>
        <v>0</v>
      </c>
      <c r="D434" s="9">
        <f>SK[[#This Row],[KALİTE]]</f>
        <v>0</v>
      </c>
      <c r="E434" s="11">
        <f>SK[[#This Row],[FİRE]]</f>
        <v>0</v>
      </c>
      <c r="F434" s="11">
        <f>SK[[#This Row],[EŞİT FİRE]]</f>
        <v>0</v>
      </c>
      <c r="G434" s="9">
        <f>IF(MOD(SK[[#This Row],[GEREKLİ ADET]],2)=0,SK[[#This Row],[GEREKLİ ADET]],0)</f>
        <v>0</v>
      </c>
      <c r="H434" s="9">
        <f>SK[[#This Row],[SONDAN KALAN FİRE]]</f>
        <v>0</v>
      </c>
    </row>
    <row r="435" spans="1:8" x14ac:dyDescent="0.3">
      <c r="A435" s="12">
        <f>SK[[#This Row],[TARİH]]</f>
        <v>0</v>
      </c>
      <c r="B435" s="9">
        <f>SK[[#This Row],[TÜR]]</f>
        <v>0</v>
      </c>
      <c r="C435" s="9">
        <f>SK[[#This Row],[MALZEME ]]</f>
        <v>0</v>
      </c>
      <c r="D435" s="9">
        <f>SK[[#This Row],[KALİTE]]</f>
        <v>0</v>
      </c>
      <c r="E435" s="11">
        <f>SK[[#This Row],[FİRE]]</f>
        <v>0</v>
      </c>
      <c r="F435" s="11">
        <f>SK[[#This Row],[EŞİT FİRE]]</f>
        <v>0</v>
      </c>
      <c r="G435" s="9">
        <f>IF(MOD(SK[[#This Row],[GEREKLİ ADET]],2)=0,SK[[#This Row],[GEREKLİ ADET]],0)</f>
        <v>0</v>
      </c>
      <c r="H435" s="9">
        <f>SK[[#This Row],[SONDAN KALAN FİRE]]</f>
        <v>0</v>
      </c>
    </row>
    <row r="436" spans="1:8" x14ac:dyDescent="0.3">
      <c r="A436" s="12">
        <f>SK[[#This Row],[TARİH]]</f>
        <v>0</v>
      </c>
      <c r="B436" s="9">
        <f>SK[[#This Row],[TÜR]]</f>
        <v>0</v>
      </c>
      <c r="C436" s="9">
        <f>SK[[#This Row],[MALZEME ]]</f>
        <v>0</v>
      </c>
      <c r="D436" s="9">
        <f>SK[[#This Row],[KALİTE]]</f>
        <v>0</v>
      </c>
      <c r="E436" s="11">
        <f>SK[[#This Row],[FİRE]]</f>
        <v>0</v>
      </c>
      <c r="F436" s="11">
        <f>SK[[#This Row],[EŞİT FİRE]]</f>
        <v>0</v>
      </c>
      <c r="G436" s="9">
        <f>IF(MOD(SK[[#This Row],[GEREKLİ ADET]],2)=0,SK[[#This Row],[GEREKLİ ADET]],0)</f>
        <v>0</v>
      </c>
      <c r="H436" s="9">
        <f>SK[[#This Row],[SONDAN KALAN FİRE]]</f>
        <v>0</v>
      </c>
    </row>
    <row r="437" spans="1:8" x14ac:dyDescent="0.3">
      <c r="A437" s="12">
        <f>SK[[#This Row],[TARİH]]</f>
        <v>0</v>
      </c>
      <c r="B437" s="9">
        <f>SK[[#This Row],[TÜR]]</f>
        <v>0</v>
      </c>
      <c r="C437" s="9">
        <f>SK[[#This Row],[MALZEME ]]</f>
        <v>0</v>
      </c>
      <c r="D437" s="9">
        <f>SK[[#This Row],[KALİTE]]</f>
        <v>0</v>
      </c>
      <c r="E437" s="11">
        <f>SK[[#This Row],[FİRE]]</f>
        <v>0</v>
      </c>
      <c r="F437" s="11">
        <f>SK[[#This Row],[EŞİT FİRE]]</f>
        <v>0</v>
      </c>
      <c r="G437" s="9">
        <f>IF(MOD(SK[[#This Row],[GEREKLİ ADET]],2)=0,SK[[#This Row],[GEREKLİ ADET]],0)</f>
        <v>0</v>
      </c>
      <c r="H437" s="9">
        <f>SK[[#This Row],[SONDAN KALAN FİRE]]</f>
        <v>0</v>
      </c>
    </row>
    <row r="438" spans="1:8" x14ac:dyDescent="0.3">
      <c r="A438" s="12">
        <f>SK[[#This Row],[TARİH]]</f>
        <v>0</v>
      </c>
      <c r="B438" s="9">
        <f>SK[[#This Row],[TÜR]]</f>
        <v>0</v>
      </c>
      <c r="C438" s="9">
        <f>SK[[#This Row],[MALZEME ]]</f>
        <v>0</v>
      </c>
      <c r="D438" s="9">
        <f>SK[[#This Row],[KALİTE]]</f>
        <v>0</v>
      </c>
      <c r="E438" s="11">
        <f>SK[[#This Row],[FİRE]]</f>
        <v>0</v>
      </c>
      <c r="F438" s="11">
        <f>SK[[#This Row],[EŞİT FİRE]]</f>
        <v>0</v>
      </c>
      <c r="G438" s="9">
        <f>IF(MOD(SK[[#This Row],[GEREKLİ ADET]],2)=0,SK[[#This Row],[GEREKLİ ADET]],0)</f>
        <v>0</v>
      </c>
      <c r="H438" s="9">
        <f>SK[[#This Row],[SONDAN KALAN FİRE]]</f>
        <v>0</v>
      </c>
    </row>
    <row r="439" spans="1:8" x14ac:dyDescent="0.3">
      <c r="A439" s="12">
        <f>SK[[#This Row],[TARİH]]</f>
        <v>0</v>
      </c>
      <c r="B439" s="9">
        <f>SK[[#This Row],[TÜR]]</f>
        <v>0</v>
      </c>
      <c r="C439" s="9">
        <f>SK[[#This Row],[MALZEME ]]</f>
        <v>0</v>
      </c>
      <c r="D439" s="9">
        <f>SK[[#This Row],[KALİTE]]</f>
        <v>0</v>
      </c>
      <c r="E439" s="11">
        <f>SK[[#This Row],[FİRE]]</f>
        <v>0</v>
      </c>
      <c r="F439" s="11">
        <f>SK[[#This Row],[EŞİT FİRE]]</f>
        <v>0</v>
      </c>
      <c r="G439" s="9">
        <f>IF(MOD(SK[[#This Row],[GEREKLİ ADET]],2)=0,SK[[#This Row],[GEREKLİ ADET]],0)</f>
        <v>0</v>
      </c>
      <c r="H439" s="9">
        <f>SK[[#This Row],[SONDAN KALAN FİRE]]</f>
        <v>0</v>
      </c>
    </row>
    <row r="440" spans="1:8" x14ac:dyDescent="0.3">
      <c r="A440" s="12">
        <f>SK[[#This Row],[TARİH]]</f>
        <v>0</v>
      </c>
      <c r="B440" s="9">
        <f>SK[[#This Row],[TÜR]]</f>
        <v>0</v>
      </c>
      <c r="C440" s="9">
        <f>SK[[#This Row],[MALZEME ]]</f>
        <v>0</v>
      </c>
      <c r="D440" s="9">
        <f>SK[[#This Row],[KALİTE]]</f>
        <v>0</v>
      </c>
      <c r="E440" s="11">
        <f>SK[[#This Row],[FİRE]]</f>
        <v>0</v>
      </c>
      <c r="F440" s="11">
        <f>SK[[#This Row],[EŞİT FİRE]]</f>
        <v>0</v>
      </c>
      <c r="G440" s="9">
        <f>IF(MOD(SK[[#This Row],[GEREKLİ ADET]],2)=0,SK[[#This Row],[GEREKLİ ADET]],0)</f>
        <v>0</v>
      </c>
      <c r="H440" s="9">
        <f>SK[[#This Row],[SONDAN KALAN FİRE]]</f>
        <v>0</v>
      </c>
    </row>
    <row r="441" spans="1:8" x14ac:dyDescent="0.3">
      <c r="A441" s="12">
        <f>SK[[#This Row],[TARİH]]</f>
        <v>0</v>
      </c>
      <c r="B441" s="9">
        <f>SK[[#This Row],[TÜR]]</f>
        <v>0</v>
      </c>
      <c r="C441" s="9">
        <f>SK[[#This Row],[MALZEME ]]</f>
        <v>0</v>
      </c>
      <c r="D441" s="9">
        <f>SK[[#This Row],[KALİTE]]</f>
        <v>0</v>
      </c>
      <c r="E441" s="11">
        <f>SK[[#This Row],[FİRE]]</f>
        <v>0</v>
      </c>
      <c r="F441" s="11">
        <f>SK[[#This Row],[EŞİT FİRE]]</f>
        <v>0</v>
      </c>
      <c r="G441" s="9">
        <f>IF(MOD(SK[[#This Row],[GEREKLİ ADET]],2)=0,SK[[#This Row],[GEREKLİ ADET]],0)</f>
        <v>0</v>
      </c>
      <c r="H441" s="9">
        <f>SK[[#This Row],[SONDAN KALAN FİRE]]</f>
        <v>0</v>
      </c>
    </row>
    <row r="442" spans="1:8" x14ac:dyDescent="0.3">
      <c r="A442" s="12">
        <f>SK[[#This Row],[TARİH]]</f>
        <v>0</v>
      </c>
      <c r="B442" s="9">
        <f>SK[[#This Row],[TÜR]]</f>
        <v>0</v>
      </c>
      <c r="C442" s="9">
        <f>SK[[#This Row],[MALZEME ]]</f>
        <v>0</v>
      </c>
      <c r="D442" s="9">
        <f>SK[[#This Row],[KALİTE]]</f>
        <v>0</v>
      </c>
      <c r="E442" s="11">
        <f>SK[[#This Row],[FİRE]]</f>
        <v>0</v>
      </c>
      <c r="F442" s="11">
        <f>SK[[#This Row],[EŞİT FİRE]]</f>
        <v>0</v>
      </c>
      <c r="G442" s="9">
        <f>IF(MOD(SK[[#This Row],[GEREKLİ ADET]],2)=0,SK[[#This Row],[GEREKLİ ADET]],0)</f>
        <v>0</v>
      </c>
      <c r="H442" s="9">
        <f>SK[[#This Row],[SONDAN KALAN FİRE]]</f>
        <v>0</v>
      </c>
    </row>
    <row r="443" spans="1:8" x14ac:dyDescent="0.3">
      <c r="A443" s="12">
        <f>SK[[#This Row],[TARİH]]</f>
        <v>0</v>
      </c>
      <c r="B443" s="9">
        <f>SK[[#This Row],[TÜR]]</f>
        <v>0</v>
      </c>
      <c r="C443" s="9">
        <f>SK[[#This Row],[MALZEME ]]</f>
        <v>0</v>
      </c>
      <c r="D443" s="9">
        <f>SK[[#This Row],[KALİTE]]</f>
        <v>0</v>
      </c>
      <c r="E443" s="11">
        <f>SK[[#This Row],[FİRE]]</f>
        <v>0</v>
      </c>
      <c r="F443" s="11">
        <f>SK[[#This Row],[EŞİT FİRE]]</f>
        <v>0</v>
      </c>
      <c r="G443" s="9">
        <f>IF(MOD(SK[[#This Row],[GEREKLİ ADET]],2)=0,SK[[#This Row],[GEREKLİ ADET]],0)</f>
        <v>0</v>
      </c>
      <c r="H443" s="9">
        <f>SK[[#This Row],[SONDAN KALAN FİRE]]</f>
        <v>0</v>
      </c>
    </row>
    <row r="444" spans="1:8" x14ac:dyDescent="0.3">
      <c r="A444" s="12">
        <f>SK[[#This Row],[TARİH]]</f>
        <v>0</v>
      </c>
      <c r="B444" s="9">
        <f>SK[[#This Row],[TÜR]]</f>
        <v>0</v>
      </c>
      <c r="C444" s="9">
        <f>SK[[#This Row],[MALZEME ]]</f>
        <v>0</v>
      </c>
      <c r="D444" s="9">
        <f>SK[[#This Row],[KALİTE]]</f>
        <v>0</v>
      </c>
      <c r="E444" s="11">
        <f>SK[[#This Row],[FİRE]]</f>
        <v>0</v>
      </c>
      <c r="F444" s="11">
        <f>SK[[#This Row],[EŞİT FİRE]]</f>
        <v>0</v>
      </c>
      <c r="G444" s="9">
        <f>IF(MOD(SK[[#This Row],[GEREKLİ ADET]],2)=0,SK[[#This Row],[GEREKLİ ADET]],0)</f>
        <v>0</v>
      </c>
      <c r="H444" s="9">
        <f>SK[[#This Row],[SONDAN KALAN FİRE]]</f>
        <v>0</v>
      </c>
    </row>
    <row r="445" spans="1:8" x14ac:dyDescent="0.3">
      <c r="A445" s="12">
        <f>SK[[#This Row],[TARİH]]</f>
        <v>0</v>
      </c>
      <c r="B445" s="9">
        <f>SK[[#This Row],[TÜR]]</f>
        <v>0</v>
      </c>
      <c r="C445" s="9">
        <f>SK[[#This Row],[MALZEME ]]</f>
        <v>0</v>
      </c>
      <c r="D445" s="9">
        <f>SK[[#This Row],[KALİTE]]</f>
        <v>0</v>
      </c>
      <c r="E445" s="11">
        <f>SK[[#This Row],[FİRE]]</f>
        <v>0</v>
      </c>
      <c r="F445" s="11">
        <f>SK[[#This Row],[EŞİT FİRE]]</f>
        <v>0</v>
      </c>
      <c r="G445" s="9">
        <f>IF(MOD(SK[[#This Row],[GEREKLİ ADET]],2)=0,SK[[#This Row],[GEREKLİ ADET]],0)</f>
        <v>0</v>
      </c>
      <c r="H445" s="9">
        <f>SK[[#This Row],[SONDAN KALAN FİRE]]</f>
        <v>0</v>
      </c>
    </row>
    <row r="446" spans="1:8" x14ac:dyDescent="0.3">
      <c r="A446" s="12">
        <f>SK[[#This Row],[TARİH]]</f>
        <v>0</v>
      </c>
      <c r="B446" s="9">
        <f>SK[[#This Row],[TÜR]]</f>
        <v>0</v>
      </c>
      <c r="C446" s="9">
        <f>SK[[#This Row],[MALZEME ]]</f>
        <v>0</v>
      </c>
      <c r="D446" s="9">
        <f>SK[[#This Row],[KALİTE]]</f>
        <v>0</v>
      </c>
      <c r="E446" s="11">
        <f>SK[[#This Row],[FİRE]]</f>
        <v>0</v>
      </c>
      <c r="F446" s="11">
        <f>SK[[#This Row],[EŞİT FİRE]]</f>
        <v>0</v>
      </c>
      <c r="G446" s="9">
        <f>IF(MOD(SK[[#This Row],[GEREKLİ ADET]],2)=0,SK[[#This Row],[GEREKLİ ADET]],0)</f>
        <v>0</v>
      </c>
      <c r="H446" s="9">
        <f>SK[[#This Row],[SONDAN KALAN FİRE]]</f>
        <v>0</v>
      </c>
    </row>
    <row r="447" spans="1:8" x14ac:dyDescent="0.3">
      <c r="A447" s="12">
        <f>SK[[#This Row],[TARİH]]</f>
        <v>0</v>
      </c>
      <c r="B447" s="9">
        <f>SK[[#This Row],[TÜR]]</f>
        <v>0</v>
      </c>
      <c r="C447" s="9">
        <f>SK[[#This Row],[MALZEME ]]</f>
        <v>0</v>
      </c>
      <c r="D447" s="9">
        <f>SK[[#This Row],[KALİTE]]</f>
        <v>0</v>
      </c>
      <c r="E447" s="11">
        <f>SK[[#This Row],[FİRE]]</f>
        <v>0</v>
      </c>
      <c r="F447" s="11">
        <f>SK[[#This Row],[EŞİT FİRE]]</f>
        <v>0</v>
      </c>
      <c r="G447" s="9">
        <f>IF(MOD(SK[[#This Row],[GEREKLİ ADET]],2)=0,SK[[#This Row],[GEREKLİ ADET]],0)</f>
        <v>0</v>
      </c>
      <c r="H447" s="9">
        <f>SK[[#This Row],[SONDAN KALAN FİRE]]</f>
        <v>0</v>
      </c>
    </row>
    <row r="448" spans="1:8" x14ac:dyDescent="0.3">
      <c r="A448" s="12">
        <f>SK[[#This Row],[TARİH]]</f>
        <v>0</v>
      </c>
      <c r="B448" s="9">
        <f>SK[[#This Row],[TÜR]]</f>
        <v>0</v>
      </c>
      <c r="C448" s="9">
        <f>SK[[#This Row],[MALZEME ]]</f>
        <v>0</v>
      </c>
      <c r="D448" s="9">
        <f>SK[[#This Row],[KALİTE]]</f>
        <v>0</v>
      </c>
      <c r="E448" s="11">
        <f>SK[[#This Row],[FİRE]]</f>
        <v>0</v>
      </c>
      <c r="F448" s="11">
        <f>SK[[#This Row],[EŞİT FİRE]]</f>
        <v>0</v>
      </c>
      <c r="G448" s="9">
        <f>IF(MOD(SK[[#This Row],[GEREKLİ ADET]],2)=0,SK[[#This Row],[GEREKLİ ADET]],0)</f>
        <v>0</v>
      </c>
      <c r="H448" s="9">
        <f>SK[[#This Row],[SONDAN KALAN FİRE]]</f>
        <v>0</v>
      </c>
    </row>
    <row r="449" spans="1:8" x14ac:dyDescent="0.3">
      <c r="A449" s="12">
        <f>SK[[#This Row],[TARİH]]</f>
        <v>0</v>
      </c>
      <c r="B449" s="9">
        <f>SK[[#This Row],[TÜR]]</f>
        <v>0</v>
      </c>
      <c r="C449" s="9">
        <f>SK[[#This Row],[MALZEME ]]</f>
        <v>0</v>
      </c>
      <c r="D449" s="9">
        <f>SK[[#This Row],[KALİTE]]</f>
        <v>0</v>
      </c>
      <c r="E449" s="11">
        <f>SK[[#This Row],[FİRE]]</f>
        <v>0</v>
      </c>
      <c r="F449" s="11">
        <f>SK[[#This Row],[EŞİT FİRE]]</f>
        <v>0</v>
      </c>
      <c r="G449" s="9">
        <f>IF(MOD(SK[[#This Row],[GEREKLİ ADET]],2)=0,SK[[#This Row],[GEREKLİ ADET]],0)</f>
        <v>0</v>
      </c>
      <c r="H449" s="9">
        <f>SK[[#This Row],[SONDAN KALAN FİRE]]</f>
        <v>0</v>
      </c>
    </row>
    <row r="450" spans="1:8" x14ac:dyDescent="0.3">
      <c r="A450" s="12">
        <f>SK[[#This Row],[TARİH]]</f>
        <v>0</v>
      </c>
      <c r="B450" s="9">
        <f>SK[[#This Row],[TÜR]]</f>
        <v>0</v>
      </c>
      <c r="C450" s="9">
        <f>SK[[#This Row],[MALZEME ]]</f>
        <v>0</v>
      </c>
      <c r="D450" s="9">
        <f>SK[[#This Row],[KALİTE]]</f>
        <v>0</v>
      </c>
      <c r="E450" s="11">
        <f>SK[[#This Row],[FİRE]]</f>
        <v>0</v>
      </c>
      <c r="F450" s="11">
        <f>SK[[#This Row],[EŞİT FİRE]]</f>
        <v>0</v>
      </c>
      <c r="G450" s="9">
        <f>IF(MOD(SK[[#This Row],[GEREKLİ ADET]],2)=0,SK[[#This Row],[GEREKLİ ADET]],0)</f>
        <v>0</v>
      </c>
      <c r="H450" s="9">
        <f>SK[[#This Row],[SONDAN KALAN FİRE]]</f>
        <v>0</v>
      </c>
    </row>
    <row r="451" spans="1:8" x14ac:dyDescent="0.3">
      <c r="A451" s="12">
        <f>SK[[#This Row],[TARİH]]</f>
        <v>0</v>
      </c>
      <c r="B451" s="9">
        <f>SK[[#This Row],[TÜR]]</f>
        <v>0</v>
      </c>
      <c r="C451" s="9">
        <f>SK[[#This Row],[MALZEME ]]</f>
        <v>0</v>
      </c>
      <c r="D451" s="9">
        <f>SK[[#This Row],[KALİTE]]</f>
        <v>0</v>
      </c>
      <c r="E451" s="11">
        <f>SK[[#This Row],[FİRE]]</f>
        <v>0</v>
      </c>
      <c r="F451" s="11">
        <f>SK[[#This Row],[EŞİT FİRE]]</f>
        <v>0</v>
      </c>
      <c r="G451" s="9">
        <f>IF(MOD(SK[[#This Row],[GEREKLİ ADET]],2)=0,SK[[#This Row],[GEREKLİ ADET]],0)</f>
        <v>0</v>
      </c>
      <c r="H451" s="9">
        <f>SK[[#This Row],[SONDAN KALAN FİRE]]</f>
        <v>0</v>
      </c>
    </row>
    <row r="452" spans="1:8" x14ac:dyDescent="0.3">
      <c r="A452" s="12">
        <f>SK[[#This Row],[TARİH]]</f>
        <v>0</v>
      </c>
      <c r="B452" s="9">
        <f>SK[[#This Row],[TÜR]]</f>
        <v>0</v>
      </c>
      <c r="C452" s="9">
        <f>SK[[#This Row],[MALZEME ]]</f>
        <v>0</v>
      </c>
      <c r="D452" s="9">
        <f>SK[[#This Row],[KALİTE]]</f>
        <v>0</v>
      </c>
      <c r="E452" s="11">
        <f>SK[[#This Row],[FİRE]]</f>
        <v>0</v>
      </c>
      <c r="F452" s="11">
        <f>SK[[#This Row],[EŞİT FİRE]]</f>
        <v>0</v>
      </c>
      <c r="G452" s="9">
        <f>IF(MOD(SK[[#This Row],[GEREKLİ ADET]],2)=0,SK[[#This Row],[GEREKLİ ADET]],0)</f>
        <v>0</v>
      </c>
      <c r="H452" s="9">
        <f>SK[[#This Row],[SONDAN KALAN FİRE]]</f>
        <v>0</v>
      </c>
    </row>
    <row r="453" spans="1:8" x14ac:dyDescent="0.3">
      <c r="A453" s="12">
        <f>SK[[#This Row],[TARİH]]</f>
        <v>0</v>
      </c>
      <c r="B453" s="9">
        <f>SK[[#This Row],[TÜR]]</f>
        <v>0</v>
      </c>
      <c r="C453" s="9">
        <f>SK[[#This Row],[MALZEME ]]</f>
        <v>0</v>
      </c>
      <c r="D453" s="9">
        <f>SK[[#This Row],[KALİTE]]</f>
        <v>0</v>
      </c>
      <c r="E453" s="11">
        <f>SK[[#This Row],[FİRE]]</f>
        <v>0</v>
      </c>
      <c r="F453" s="11">
        <f>SK[[#This Row],[EŞİT FİRE]]</f>
        <v>0</v>
      </c>
      <c r="G453" s="9">
        <f>IF(MOD(SK[[#This Row],[GEREKLİ ADET]],2)=0,SK[[#This Row],[GEREKLİ ADET]],0)</f>
        <v>0</v>
      </c>
      <c r="H453" s="9">
        <f>SK[[#This Row],[SONDAN KALAN FİRE]]</f>
        <v>0</v>
      </c>
    </row>
    <row r="454" spans="1:8" x14ac:dyDescent="0.3">
      <c r="A454" s="12">
        <f>SK[[#This Row],[TARİH]]</f>
        <v>0</v>
      </c>
      <c r="B454" s="9">
        <f>SK[[#This Row],[TÜR]]</f>
        <v>0</v>
      </c>
      <c r="C454" s="9">
        <f>SK[[#This Row],[MALZEME ]]</f>
        <v>0</v>
      </c>
      <c r="D454" s="9">
        <f>SK[[#This Row],[KALİTE]]</f>
        <v>0</v>
      </c>
      <c r="E454" s="11">
        <f>SK[[#This Row],[FİRE]]</f>
        <v>0</v>
      </c>
      <c r="F454" s="11">
        <f>SK[[#This Row],[EŞİT FİRE]]</f>
        <v>0</v>
      </c>
      <c r="G454" s="9">
        <f>IF(MOD(SK[[#This Row],[GEREKLİ ADET]],2)=0,SK[[#This Row],[GEREKLİ ADET]],0)</f>
        <v>0</v>
      </c>
      <c r="H454" s="9">
        <f>SK[[#This Row],[SONDAN KALAN FİRE]]</f>
        <v>0</v>
      </c>
    </row>
    <row r="455" spans="1:8" x14ac:dyDescent="0.3">
      <c r="A455" s="12">
        <f>SK[[#This Row],[TARİH]]</f>
        <v>0</v>
      </c>
      <c r="B455" s="9">
        <f>SK[[#This Row],[TÜR]]</f>
        <v>0</v>
      </c>
      <c r="C455" s="9">
        <f>SK[[#This Row],[MALZEME ]]</f>
        <v>0</v>
      </c>
      <c r="D455" s="9">
        <f>SK[[#This Row],[KALİTE]]</f>
        <v>0</v>
      </c>
      <c r="E455" s="11">
        <f>SK[[#This Row],[FİRE]]</f>
        <v>0</v>
      </c>
      <c r="F455" s="11">
        <f>SK[[#This Row],[EŞİT FİRE]]</f>
        <v>0</v>
      </c>
      <c r="G455" s="9">
        <f>IF(MOD(SK[[#This Row],[GEREKLİ ADET]],2)=0,SK[[#This Row],[GEREKLİ ADET]],0)</f>
        <v>0</v>
      </c>
      <c r="H455" s="9">
        <f>SK[[#This Row],[SONDAN KALAN FİRE]]</f>
        <v>0</v>
      </c>
    </row>
    <row r="456" spans="1:8" x14ac:dyDescent="0.3">
      <c r="A456" s="12">
        <f>SK[[#This Row],[TARİH]]</f>
        <v>0</v>
      </c>
      <c r="B456" s="9">
        <f>SK[[#This Row],[TÜR]]</f>
        <v>0</v>
      </c>
      <c r="C456" s="9">
        <f>SK[[#This Row],[MALZEME ]]</f>
        <v>0</v>
      </c>
      <c r="D456" s="9">
        <f>SK[[#This Row],[KALİTE]]</f>
        <v>0</v>
      </c>
      <c r="E456" s="11">
        <f>SK[[#This Row],[FİRE]]</f>
        <v>0</v>
      </c>
      <c r="F456" s="11">
        <f>SK[[#This Row],[EŞİT FİRE]]</f>
        <v>0</v>
      </c>
      <c r="G456" s="9">
        <f>IF(MOD(SK[[#This Row],[GEREKLİ ADET]],2)=0,SK[[#This Row],[GEREKLİ ADET]],0)</f>
        <v>0</v>
      </c>
      <c r="H456" s="9">
        <f>SK[[#This Row],[SONDAN KALAN FİRE]]</f>
        <v>0</v>
      </c>
    </row>
    <row r="457" spans="1:8" x14ac:dyDescent="0.3">
      <c r="A457" s="12">
        <f>SK[[#This Row],[TARİH]]</f>
        <v>0</v>
      </c>
      <c r="B457" s="9">
        <f>SK[[#This Row],[TÜR]]</f>
        <v>0</v>
      </c>
      <c r="C457" s="9">
        <f>SK[[#This Row],[MALZEME ]]</f>
        <v>0</v>
      </c>
      <c r="D457" s="9">
        <f>SK[[#This Row],[KALİTE]]</f>
        <v>0</v>
      </c>
      <c r="E457" s="11">
        <f>SK[[#This Row],[FİRE]]</f>
        <v>0</v>
      </c>
      <c r="F457" s="11">
        <f>SK[[#This Row],[EŞİT FİRE]]</f>
        <v>0</v>
      </c>
      <c r="G457" s="9">
        <f>IF(MOD(SK[[#This Row],[GEREKLİ ADET]],2)=0,SK[[#This Row],[GEREKLİ ADET]],0)</f>
        <v>0</v>
      </c>
      <c r="H457" s="9">
        <f>SK[[#This Row],[SONDAN KALAN FİRE]]</f>
        <v>0</v>
      </c>
    </row>
    <row r="458" spans="1:8" x14ac:dyDescent="0.3">
      <c r="A458" s="12">
        <f>SK[[#This Row],[TARİH]]</f>
        <v>0</v>
      </c>
      <c r="B458" s="9">
        <f>SK[[#This Row],[TÜR]]</f>
        <v>0</v>
      </c>
      <c r="C458" s="9">
        <f>SK[[#This Row],[MALZEME ]]</f>
        <v>0</v>
      </c>
      <c r="D458" s="9">
        <f>SK[[#This Row],[KALİTE]]</f>
        <v>0</v>
      </c>
      <c r="E458" s="11">
        <f>SK[[#This Row],[FİRE]]</f>
        <v>0</v>
      </c>
      <c r="F458" s="11">
        <f>SK[[#This Row],[EŞİT FİRE]]</f>
        <v>0</v>
      </c>
      <c r="G458" s="9">
        <f>IF(MOD(SK[[#This Row],[GEREKLİ ADET]],2)=0,SK[[#This Row],[GEREKLİ ADET]],0)</f>
        <v>0</v>
      </c>
      <c r="H458" s="9">
        <f>SK[[#This Row],[SONDAN KALAN FİRE]]</f>
        <v>0</v>
      </c>
    </row>
    <row r="459" spans="1:8" x14ac:dyDescent="0.3">
      <c r="A459" s="12">
        <f>SK[[#This Row],[TARİH]]</f>
        <v>0</v>
      </c>
      <c r="B459" s="9">
        <f>SK[[#This Row],[TÜR]]</f>
        <v>0</v>
      </c>
      <c r="C459" s="9">
        <f>SK[[#This Row],[MALZEME ]]</f>
        <v>0</v>
      </c>
      <c r="D459" s="9">
        <f>SK[[#This Row],[KALİTE]]</f>
        <v>0</v>
      </c>
      <c r="E459" s="11">
        <f>SK[[#This Row],[FİRE]]</f>
        <v>0</v>
      </c>
      <c r="F459" s="11">
        <f>SK[[#This Row],[EŞİT FİRE]]</f>
        <v>0</v>
      </c>
      <c r="G459" s="9">
        <f>IF(MOD(SK[[#This Row],[GEREKLİ ADET]],2)=0,SK[[#This Row],[GEREKLİ ADET]],0)</f>
        <v>0</v>
      </c>
      <c r="H459" s="9">
        <f>SK[[#This Row],[SONDAN KALAN FİRE]]</f>
        <v>0</v>
      </c>
    </row>
    <row r="460" spans="1:8" x14ac:dyDescent="0.3">
      <c r="A460" s="12">
        <f>SK[[#This Row],[TARİH]]</f>
        <v>0</v>
      </c>
      <c r="B460" s="9">
        <f>SK[[#This Row],[TÜR]]</f>
        <v>0</v>
      </c>
      <c r="C460" s="9">
        <f>SK[[#This Row],[MALZEME ]]</f>
        <v>0</v>
      </c>
      <c r="D460" s="9">
        <f>SK[[#This Row],[KALİTE]]</f>
        <v>0</v>
      </c>
      <c r="E460" s="11">
        <f>SK[[#This Row],[FİRE]]</f>
        <v>0</v>
      </c>
      <c r="F460" s="11">
        <f>SK[[#This Row],[EŞİT FİRE]]</f>
        <v>0</v>
      </c>
      <c r="G460" s="9">
        <f>IF(MOD(SK[[#This Row],[GEREKLİ ADET]],2)=0,SK[[#This Row],[GEREKLİ ADET]],0)</f>
        <v>0</v>
      </c>
      <c r="H460" s="9">
        <f>SK[[#This Row],[SONDAN KALAN FİRE]]</f>
        <v>0</v>
      </c>
    </row>
    <row r="461" spans="1:8" x14ac:dyDescent="0.3">
      <c r="A461" s="12">
        <f>SK[[#This Row],[TARİH]]</f>
        <v>0</v>
      </c>
      <c r="B461" s="9">
        <f>SK[[#This Row],[TÜR]]</f>
        <v>0</v>
      </c>
      <c r="C461" s="9">
        <f>SK[[#This Row],[MALZEME ]]</f>
        <v>0</v>
      </c>
      <c r="D461" s="9">
        <f>SK[[#This Row],[KALİTE]]</f>
        <v>0</v>
      </c>
      <c r="E461" s="11">
        <f>SK[[#This Row],[FİRE]]</f>
        <v>0</v>
      </c>
      <c r="F461" s="11">
        <f>SK[[#This Row],[EŞİT FİRE]]</f>
        <v>0</v>
      </c>
      <c r="G461" s="9">
        <f>IF(MOD(SK[[#This Row],[GEREKLİ ADET]],2)=0,SK[[#This Row],[GEREKLİ ADET]],0)</f>
        <v>0</v>
      </c>
      <c r="H461" s="9">
        <f>SK[[#This Row],[SONDAN KALAN FİRE]]</f>
        <v>0</v>
      </c>
    </row>
    <row r="462" spans="1:8" x14ac:dyDescent="0.3">
      <c r="A462" s="12">
        <f>SK[[#This Row],[TARİH]]</f>
        <v>0</v>
      </c>
      <c r="B462" s="9">
        <f>SK[[#This Row],[TÜR]]</f>
        <v>0</v>
      </c>
      <c r="C462" s="9">
        <f>SK[[#This Row],[MALZEME ]]</f>
        <v>0</v>
      </c>
      <c r="D462" s="9">
        <f>SK[[#This Row],[KALİTE]]</f>
        <v>0</v>
      </c>
      <c r="E462" s="11">
        <f>SK[[#This Row],[FİRE]]</f>
        <v>0</v>
      </c>
      <c r="F462" s="11">
        <f>SK[[#This Row],[EŞİT FİRE]]</f>
        <v>0</v>
      </c>
      <c r="G462" s="9">
        <f>IF(MOD(SK[[#This Row],[GEREKLİ ADET]],2)=0,SK[[#This Row],[GEREKLİ ADET]],0)</f>
        <v>0</v>
      </c>
      <c r="H462" s="9">
        <f>SK[[#This Row],[SONDAN KALAN FİRE]]</f>
        <v>0</v>
      </c>
    </row>
    <row r="463" spans="1:8" x14ac:dyDescent="0.3">
      <c r="A463" s="12">
        <f>SK[[#This Row],[TARİH]]</f>
        <v>0</v>
      </c>
      <c r="B463" s="9">
        <f>SK[[#This Row],[TÜR]]</f>
        <v>0</v>
      </c>
      <c r="C463" s="9">
        <f>SK[[#This Row],[MALZEME ]]</f>
        <v>0</v>
      </c>
      <c r="D463" s="9">
        <f>SK[[#This Row],[KALİTE]]</f>
        <v>0</v>
      </c>
      <c r="E463" s="11">
        <f>SK[[#This Row],[FİRE]]</f>
        <v>0</v>
      </c>
      <c r="F463" s="11">
        <f>SK[[#This Row],[EŞİT FİRE]]</f>
        <v>0</v>
      </c>
      <c r="G463" s="9">
        <f>IF(MOD(SK[[#This Row],[GEREKLİ ADET]],2)=0,SK[[#This Row],[GEREKLİ ADET]],0)</f>
        <v>0</v>
      </c>
      <c r="H463" s="9">
        <f>SK[[#This Row],[SONDAN KALAN FİRE]]</f>
        <v>0</v>
      </c>
    </row>
    <row r="464" spans="1:8" x14ac:dyDescent="0.3">
      <c r="A464" s="12">
        <f>SK[[#This Row],[TARİH]]</f>
        <v>0</v>
      </c>
      <c r="B464" s="9">
        <f>SK[[#This Row],[TÜR]]</f>
        <v>0</v>
      </c>
      <c r="C464" s="9">
        <f>SK[[#This Row],[MALZEME ]]</f>
        <v>0</v>
      </c>
      <c r="D464" s="9">
        <f>SK[[#This Row],[KALİTE]]</f>
        <v>0</v>
      </c>
      <c r="E464" s="11">
        <f>SK[[#This Row],[FİRE]]</f>
        <v>0</v>
      </c>
      <c r="F464" s="11">
        <f>SK[[#This Row],[EŞİT FİRE]]</f>
        <v>0</v>
      </c>
      <c r="G464" s="9">
        <f>IF(MOD(SK[[#This Row],[GEREKLİ ADET]],2)=0,SK[[#This Row],[GEREKLİ ADET]],0)</f>
        <v>0</v>
      </c>
      <c r="H464" s="9">
        <f>SK[[#This Row],[SONDAN KALAN FİRE]]</f>
        <v>0</v>
      </c>
    </row>
    <row r="465" spans="1:8" x14ac:dyDescent="0.3">
      <c r="A465" s="12">
        <f>SK[[#This Row],[TARİH]]</f>
        <v>0</v>
      </c>
      <c r="B465" s="9">
        <f>SK[[#This Row],[TÜR]]</f>
        <v>0</v>
      </c>
      <c r="C465" s="9">
        <f>SK[[#This Row],[MALZEME ]]</f>
        <v>0</v>
      </c>
      <c r="D465" s="9">
        <f>SK[[#This Row],[KALİTE]]</f>
        <v>0</v>
      </c>
      <c r="E465" s="11">
        <f>SK[[#This Row],[FİRE]]</f>
        <v>0</v>
      </c>
      <c r="F465" s="11">
        <f>SK[[#This Row],[EŞİT FİRE]]</f>
        <v>0</v>
      </c>
      <c r="G465" s="9">
        <f>IF(MOD(SK[[#This Row],[GEREKLİ ADET]],2)=0,SK[[#This Row],[GEREKLİ ADET]],0)</f>
        <v>0</v>
      </c>
      <c r="H465" s="9">
        <f>SK[[#This Row],[SONDAN KALAN FİRE]]</f>
        <v>0</v>
      </c>
    </row>
    <row r="466" spans="1:8" x14ac:dyDescent="0.3">
      <c r="A466" s="12">
        <f>SK[[#This Row],[TARİH]]</f>
        <v>0</v>
      </c>
      <c r="B466" s="9">
        <f>SK[[#This Row],[TÜR]]</f>
        <v>0</v>
      </c>
      <c r="C466" s="9">
        <f>SK[[#This Row],[MALZEME ]]</f>
        <v>0</v>
      </c>
      <c r="D466" s="9">
        <f>SK[[#This Row],[KALİTE]]</f>
        <v>0</v>
      </c>
      <c r="E466" s="11">
        <f>SK[[#This Row],[FİRE]]</f>
        <v>0</v>
      </c>
      <c r="F466" s="11">
        <f>SK[[#This Row],[EŞİT FİRE]]</f>
        <v>0</v>
      </c>
      <c r="G466" s="9">
        <f>IF(MOD(SK[[#This Row],[GEREKLİ ADET]],2)=0,SK[[#This Row],[GEREKLİ ADET]],0)</f>
        <v>0</v>
      </c>
      <c r="H466" s="9">
        <f>SK[[#This Row],[SONDAN KALAN FİRE]]</f>
        <v>0</v>
      </c>
    </row>
    <row r="467" spans="1:8" x14ac:dyDescent="0.3">
      <c r="A467" s="12">
        <f>SK[[#This Row],[TARİH]]</f>
        <v>0</v>
      </c>
      <c r="B467" s="9">
        <f>SK[[#This Row],[TÜR]]</f>
        <v>0</v>
      </c>
      <c r="C467" s="9">
        <f>SK[[#This Row],[MALZEME ]]</f>
        <v>0</v>
      </c>
      <c r="D467" s="9">
        <f>SK[[#This Row],[KALİTE]]</f>
        <v>0</v>
      </c>
      <c r="E467" s="11">
        <f>SK[[#This Row],[FİRE]]</f>
        <v>0</v>
      </c>
      <c r="F467" s="11">
        <f>SK[[#This Row],[EŞİT FİRE]]</f>
        <v>0</v>
      </c>
      <c r="G467" s="9">
        <f>IF(MOD(SK[[#This Row],[GEREKLİ ADET]],2)=0,SK[[#This Row],[GEREKLİ ADET]],0)</f>
        <v>0</v>
      </c>
      <c r="H467" s="9">
        <f>SK[[#This Row],[SONDAN KALAN FİRE]]</f>
        <v>0</v>
      </c>
    </row>
    <row r="468" spans="1:8" x14ac:dyDescent="0.3">
      <c r="A468" s="12">
        <f>SK[[#This Row],[TARİH]]</f>
        <v>0</v>
      </c>
      <c r="B468" s="9">
        <f>SK[[#This Row],[TÜR]]</f>
        <v>0</v>
      </c>
      <c r="C468" s="9">
        <f>SK[[#This Row],[MALZEME ]]</f>
        <v>0</v>
      </c>
      <c r="D468" s="9">
        <f>SK[[#This Row],[KALİTE]]</f>
        <v>0</v>
      </c>
      <c r="E468" s="11">
        <f>SK[[#This Row],[FİRE]]</f>
        <v>0</v>
      </c>
      <c r="F468" s="11">
        <f>SK[[#This Row],[EŞİT FİRE]]</f>
        <v>0</v>
      </c>
      <c r="G468" s="9">
        <f>IF(MOD(SK[[#This Row],[GEREKLİ ADET]],2)=0,SK[[#This Row],[GEREKLİ ADET]],0)</f>
        <v>0</v>
      </c>
      <c r="H468" s="9">
        <f>SK[[#This Row],[SONDAN KALAN FİRE]]</f>
        <v>0</v>
      </c>
    </row>
    <row r="469" spans="1:8" x14ac:dyDescent="0.3">
      <c r="A469" s="12">
        <f>SK[[#This Row],[TARİH]]</f>
        <v>0</v>
      </c>
      <c r="B469" s="9">
        <f>SK[[#This Row],[TÜR]]</f>
        <v>0</v>
      </c>
      <c r="C469" s="9">
        <f>SK[[#This Row],[MALZEME ]]</f>
        <v>0</v>
      </c>
      <c r="D469" s="9">
        <f>SK[[#This Row],[KALİTE]]</f>
        <v>0</v>
      </c>
      <c r="E469" s="11">
        <f>SK[[#This Row],[FİRE]]</f>
        <v>0</v>
      </c>
      <c r="F469" s="11">
        <f>SK[[#This Row],[EŞİT FİRE]]</f>
        <v>0</v>
      </c>
      <c r="G469" s="9">
        <f>IF(MOD(SK[[#This Row],[GEREKLİ ADET]],2)=0,SK[[#This Row],[GEREKLİ ADET]],0)</f>
        <v>0</v>
      </c>
      <c r="H469" s="9">
        <f>SK[[#This Row],[SONDAN KALAN FİRE]]</f>
        <v>0</v>
      </c>
    </row>
    <row r="470" spans="1:8" x14ac:dyDescent="0.3">
      <c r="A470" s="12">
        <f>SK[[#This Row],[TARİH]]</f>
        <v>0</v>
      </c>
      <c r="B470" s="9">
        <f>SK[[#This Row],[TÜR]]</f>
        <v>0</v>
      </c>
      <c r="C470" s="9">
        <f>SK[[#This Row],[MALZEME ]]</f>
        <v>0</v>
      </c>
      <c r="D470" s="9">
        <f>SK[[#This Row],[KALİTE]]</f>
        <v>0</v>
      </c>
      <c r="E470" s="11">
        <f>SK[[#This Row],[FİRE]]</f>
        <v>0</v>
      </c>
      <c r="F470" s="11">
        <f>SK[[#This Row],[EŞİT FİRE]]</f>
        <v>0</v>
      </c>
      <c r="G470" s="9">
        <f>IF(MOD(SK[[#This Row],[GEREKLİ ADET]],2)=0,SK[[#This Row],[GEREKLİ ADET]],0)</f>
        <v>0</v>
      </c>
      <c r="H470" s="9">
        <f>SK[[#This Row],[SONDAN KALAN FİRE]]</f>
        <v>0</v>
      </c>
    </row>
    <row r="471" spans="1:8" x14ac:dyDescent="0.3">
      <c r="A471" s="12">
        <f>SK[[#This Row],[TARİH]]</f>
        <v>0</v>
      </c>
      <c r="B471" s="9">
        <f>SK[[#This Row],[TÜR]]</f>
        <v>0</v>
      </c>
      <c r="C471" s="9">
        <f>SK[[#This Row],[MALZEME ]]</f>
        <v>0</v>
      </c>
      <c r="D471" s="9">
        <f>SK[[#This Row],[KALİTE]]</f>
        <v>0</v>
      </c>
      <c r="E471" s="11">
        <f>SK[[#This Row],[FİRE]]</f>
        <v>0</v>
      </c>
      <c r="F471" s="11">
        <f>SK[[#This Row],[EŞİT FİRE]]</f>
        <v>0</v>
      </c>
      <c r="G471" s="9">
        <f>IF(MOD(SK[[#This Row],[GEREKLİ ADET]],2)=0,SK[[#This Row],[GEREKLİ ADET]],0)</f>
        <v>0</v>
      </c>
      <c r="H471" s="9">
        <f>SK[[#This Row],[SONDAN KALAN FİRE]]</f>
        <v>0</v>
      </c>
    </row>
    <row r="472" spans="1:8" x14ac:dyDescent="0.3">
      <c r="A472" s="12">
        <f>SK[[#This Row],[TARİH]]</f>
        <v>0</v>
      </c>
      <c r="B472" s="9">
        <f>SK[[#This Row],[TÜR]]</f>
        <v>0</v>
      </c>
      <c r="C472" s="9">
        <f>SK[[#This Row],[MALZEME ]]</f>
        <v>0</v>
      </c>
      <c r="D472" s="9">
        <f>SK[[#This Row],[KALİTE]]</f>
        <v>0</v>
      </c>
      <c r="E472" s="11">
        <f>SK[[#This Row],[FİRE]]</f>
        <v>0</v>
      </c>
      <c r="F472" s="11">
        <f>SK[[#This Row],[EŞİT FİRE]]</f>
        <v>0</v>
      </c>
      <c r="G472" s="9">
        <f>IF(MOD(SK[[#This Row],[GEREKLİ ADET]],2)=0,SK[[#This Row],[GEREKLİ ADET]],0)</f>
        <v>0</v>
      </c>
      <c r="H472" s="9">
        <f>SK[[#This Row],[SONDAN KALAN FİRE]]</f>
        <v>0</v>
      </c>
    </row>
    <row r="473" spans="1:8" x14ac:dyDescent="0.3">
      <c r="A473" s="12">
        <f>SK[[#This Row],[TARİH]]</f>
        <v>0</v>
      </c>
      <c r="B473" s="9">
        <f>SK[[#This Row],[TÜR]]</f>
        <v>0</v>
      </c>
      <c r="C473" s="9">
        <f>SK[[#This Row],[MALZEME ]]</f>
        <v>0</v>
      </c>
      <c r="D473" s="9">
        <f>SK[[#This Row],[KALİTE]]</f>
        <v>0</v>
      </c>
      <c r="E473" s="11">
        <f>SK[[#This Row],[FİRE]]</f>
        <v>0</v>
      </c>
      <c r="F473" s="11">
        <f>SK[[#This Row],[EŞİT FİRE]]</f>
        <v>0</v>
      </c>
      <c r="G473" s="9">
        <f>IF(MOD(SK[[#This Row],[GEREKLİ ADET]],2)=0,SK[[#This Row],[GEREKLİ ADET]],0)</f>
        <v>0</v>
      </c>
      <c r="H473" s="9">
        <f>SK[[#This Row],[SONDAN KALAN FİRE]]</f>
        <v>0</v>
      </c>
    </row>
    <row r="474" spans="1:8" x14ac:dyDescent="0.3">
      <c r="A474" s="12">
        <f>SK[[#This Row],[TARİH]]</f>
        <v>0</v>
      </c>
      <c r="B474" s="9">
        <f>SK[[#This Row],[TÜR]]</f>
        <v>0</v>
      </c>
      <c r="C474" s="9">
        <f>SK[[#This Row],[MALZEME ]]</f>
        <v>0</v>
      </c>
      <c r="D474" s="9">
        <f>SK[[#This Row],[KALİTE]]</f>
        <v>0</v>
      </c>
      <c r="E474" s="11">
        <f>SK[[#This Row],[FİRE]]</f>
        <v>0</v>
      </c>
      <c r="F474" s="11">
        <f>SK[[#This Row],[EŞİT FİRE]]</f>
        <v>0</v>
      </c>
      <c r="G474" s="9">
        <f>IF(MOD(SK[[#This Row],[GEREKLİ ADET]],2)=0,SK[[#This Row],[GEREKLİ ADET]],0)</f>
        <v>0</v>
      </c>
      <c r="H474" s="9">
        <f>SK[[#This Row],[SONDAN KALAN FİRE]]</f>
        <v>0</v>
      </c>
    </row>
    <row r="475" spans="1:8" x14ac:dyDescent="0.3">
      <c r="A475" s="12">
        <f>SK[[#This Row],[TARİH]]</f>
        <v>0</v>
      </c>
      <c r="B475" s="9">
        <f>SK[[#This Row],[TÜR]]</f>
        <v>0</v>
      </c>
      <c r="C475" s="9">
        <f>SK[[#This Row],[MALZEME ]]</f>
        <v>0</v>
      </c>
      <c r="D475" s="9">
        <f>SK[[#This Row],[KALİTE]]</f>
        <v>0</v>
      </c>
      <c r="E475" s="11">
        <f>SK[[#This Row],[FİRE]]</f>
        <v>0</v>
      </c>
      <c r="F475" s="11">
        <f>SK[[#This Row],[EŞİT FİRE]]</f>
        <v>0</v>
      </c>
      <c r="G475" s="9">
        <f>IF(MOD(SK[[#This Row],[GEREKLİ ADET]],2)=0,SK[[#This Row],[GEREKLİ ADET]],0)</f>
        <v>0</v>
      </c>
      <c r="H475" s="9">
        <f>SK[[#This Row],[SONDAN KALAN FİRE]]</f>
        <v>0</v>
      </c>
    </row>
    <row r="476" spans="1:8" x14ac:dyDescent="0.3">
      <c r="A476" s="12">
        <f>SK[[#This Row],[TARİH]]</f>
        <v>0</v>
      </c>
      <c r="B476" s="9">
        <f>SK[[#This Row],[TÜR]]</f>
        <v>0</v>
      </c>
      <c r="C476" s="9">
        <f>SK[[#This Row],[MALZEME ]]</f>
        <v>0</v>
      </c>
      <c r="D476" s="9">
        <f>SK[[#This Row],[KALİTE]]</f>
        <v>0</v>
      </c>
      <c r="E476" s="11">
        <f>SK[[#This Row],[FİRE]]</f>
        <v>0</v>
      </c>
      <c r="F476" s="11">
        <f>SK[[#This Row],[EŞİT FİRE]]</f>
        <v>0</v>
      </c>
      <c r="G476" s="9">
        <f>IF(MOD(SK[[#This Row],[GEREKLİ ADET]],2)=0,SK[[#This Row],[GEREKLİ ADET]],0)</f>
        <v>0</v>
      </c>
      <c r="H476" s="9">
        <f>SK[[#This Row],[SONDAN KALAN FİRE]]</f>
        <v>0</v>
      </c>
    </row>
    <row r="477" spans="1:8" x14ac:dyDescent="0.3">
      <c r="A477" s="12">
        <f>SK[[#This Row],[TARİH]]</f>
        <v>0</v>
      </c>
      <c r="B477" s="9">
        <f>SK[[#This Row],[TÜR]]</f>
        <v>0</v>
      </c>
      <c r="C477" s="9">
        <f>SK[[#This Row],[MALZEME ]]</f>
        <v>0</v>
      </c>
      <c r="D477" s="9">
        <f>SK[[#This Row],[KALİTE]]</f>
        <v>0</v>
      </c>
      <c r="E477" s="11">
        <f>SK[[#This Row],[FİRE]]</f>
        <v>0</v>
      </c>
      <c r="F477" s="11">
        <f>SK[[#This Row],[EŞİT FİRE]]</f>
        <v>0</v>
      </c>
      <c r="G477" s="9">
        <f>IF(MOD(SK[[#This Row],[GEREKLİ ADET]],2)=0,SK[[#This Row],[GEREKLİ ADET]],0)</f>
        <v>0</v>
      </c>
      <c r="H477" s="9">
        <f>SK[[#This Row],[SONDAN KALAN FİRE]]</f>
        <v>0</v>
      </c>
    </row>
    <row r="478" spans="1:8" x14ac:dyDescent="0.3">
      <c r="A478" s="12">
        <f>SK[[#This Row],[TARİH]]</f>
        <v>0</v>
      </c>
      <c r="B478" s="9">
        <f>SK[[#This Row],[TÜR]]</f>
        <v>0</v>
      </c>
      <c r="C478" s="9">
        <f>SK[[#This Row],[MALZEME ]]</f>
        <v>0</v>
      </c>
      <c r="D478" s="9">
        <f>SK[[#This Row],[KALİTE]]</f>
        <v>0</v>
      </c>
      <c r="E478" s="11">
        <f>SK[[#This Row],[FİRE]]</f>
        <v>0</v>
      </c>
      <c r="F478" s="11">
        <f>SK[[#This Row],[EŞİT FİRE]]</f>
        <v>0</v>
      </c>
      <c r="G478" s="9">
        <f>IF(MOD(SK[[#This Row],[GEREKLİ ADET]],2)=0,SK[[#This Row],[GEREKLİ ADET]],0)</f>
        <v>0</v>
      </c>
      <c r="H478" s="9">
        <f>SK[[#This Row],[SONDAN KALAN FİRE]]</f>
        <v>0</v>
      </c>
    </row>
    <row r="479" spans="1:8" x14ac:dyDescent="0.3">
      <c r="A479" s="12">
        <f>SK[[#This Row],[TARİH]]</f>
        <v>0</v>
      </c>
      <c r="B479" s="9">
        <f>SK[[#This Row],[TÜR]]</f>
        <v>0</v>
      </c>
      <c r="C479" s="9">
        <f>SK[[#This Row],[MALZEME ]]</f>
        <v>0</v>
      </c>
      <c r="D479" s="9">
        <f>SK[[#This Row],[KALİTE]]</f>
        <v>0</v>
      </c>
      <c r="E479" s="11">
        <f>SK[[#This Row],[FİRE]]</f>
        <v>0</v>
      </c>
      <c r="F479" s="11">
        <f>SK[[#This Row],[EŞİT FİRE]]</f>
        <v>0</v>
      </c>
      <c r="G479" s="9">
        <f>IF(MOD(SK[[#This Row],[GEREKLİ ADET]],2)=0,SK[[#This Row],[GEREKLİ ADET]],0)</f>
        <v>0</v>
      </c>
      <c r="H479" s="9">
        <f>SK[[#This Row],[SONDAN KALAN FİRE]]</f>
        <v>0</v>
      </c>
    </row>
    <row r="480" spans="1:8" x14ac:dyDescent="0.3">
      <c r="A480" s="12">
        <f>SK[[#This Row],[TARİH]]</f>
        <v>0</v>
      </c>
      <c r="B480" s="9">
        <f>SK[[#This Row],[TÜR]]</f>
        <v>0</v>
      </c>
      <c r="C480" s="9">
        <f>SK[[#This Row],[MALZEME ]]</f>
        <v>0</v>
      </c>
      <c r="D480" s="9">
        <f>SK[[#This Row],[KALİTE]]</f>
        <v>0</v>
      </c>
      <c r="E480" s="11">
        <f>SK[[#This Row],[FİRE]]</f>
        <v>0</v>
      </c>
      <c r="F480" s="11">
        <f>SK[[#This Row],[EŞİT FİRE]]</f>
        <v>0</v>
      </c>
      <c r="G480" s="9">
        <f>IF(MOD(SK[[#This Row],[GEREKLİ ADET]],2)=0,SK[[#This Row],[GEREKLİ ADET]],0)</f>
        <v>0</v>
      </c>
      <c r="H480" s="9">
        <f>SK[[#This Row],[SONDAN KALAN FİRE]]</f>
        <v>0</v>
      </c>
    </row>
    <row r="481" spans="1:8" x14ac:dyDescent="0.3">
      <c r="A481" s="12">
        <f>SK[[#This Row],[TARİH]]</f>
        <v>0</v>
      </c>
      <c r="B481" s="9">
        <f>SK[[#This Row],[TÜR]]</f>
        <v>0</v>
      </c>
      <c r="C481" s="9">
        <f>SK[[#This Row],[MALZEME ]]</f>
        <v>0</v>
      </c>
      <c r="D481" s="9">
        <f>SK[[#This Row],[KALİTE]]</f>
        <v>0</v>
      </c>
      <c r="E481" s="11">
        <f>SK[[#This Row],[FİRE]]</f>
        <v>0</v>
      </c>
      <c r="F481" s="11">
        <f>SK[[#This Row],[EŞİT FİRE]]</f>
        <v>0</v>
      </c>
      <c r="G481" s="9">
        <f>IF(MOD(SK[[#This Row],[GEREKLİ ADET]],2)=0,SK[[#This Row],[GEREKLİ ADET]],0)</f>
        <v>0</v>
      </c>
      <c r="H481" s="9">
        <f>SK[[#This Row],[SONDAN KALAN FİRE]]</f>
        <v>0</v>
      </c>
    </row>
    <row r="482" spans="1:8" x14ac:dyDescent="0.3">
      <c r="A482" s="12">
        <f>SK[[#This Row],[TARİH]]</f>
        <v>0</v>
      </c>
      <c r="B482" s="9">
        <f>SK[[#This Row],[TÜR]]</f>
        <v>0</v>
      </c>
      <c r="C482" s="9">
        <f>SK[[#This Row],[MALZEME ]]</f>
        <v>0</v>
      </c>
      <c r="D482" s="9">
        <f>SK[[#This Row],[KALİTE]]</f>
        <v>0</v>
      </c>
      <c r="E482" s="11">
        <f>SK[[#This Row],[FİRE]]</f>
        <v>0</v>
      </c>
      <c r="F482" s="11">
        <f>SK[[#This Row],[EŞİT FİRE]]</f>
        <v>0</v>
      </c>
      <c r="G482" s="9">
        <f>IF(MOD(SK[[#This Row],[GEREKLİ ADET]],2)=0,SK[[#This Row],[GEREKLİ ADET]],0)</f>
        <v>0</v>
      </c>
      <c r="H482" s="9">
        <f>SK[[#This Row],[SONDAN KALAN FİRE]]</f>
        <v>0</v>
      </c>
    </row>
    <row r="483" spans="1:8" x14ac:dyDescent="0.3">
      <c r="A483" s="12">
        <f>SK[[#This Row],[TARİH]]</f>
        <v>0</v>
      </c>
      <c r="B483" s="9">
        <f>SK[[#This Row],[TÜR]]</f>
        <v>0</v>
      </c>
      <c r="C483" s="9">
        <f>SK[[#This Row],[MALZEME ]]</f>
        <v>0</v>
      </c>
      <c r="D483" s="9">
        <f>SK[[#This Row],[KALİTE]]</f>
        <v>0</v>
      </c>
      <c r="E483" s="11">
        <f>SK[[#This Row],[FİRE]]</f>
        <v>0</v>
      </c>
      <c r="F483" s="11">
        <f>SK[[#This Row],[EŞİT FİRE]]</f>
        <v>0</v>
      </c>
      <c r="G483" s="9">
        <f>IF(MOD(SK[[#This Row],[GEREKLİ ADET]],2)=0,SK[[#This Row],[GEREKLİ ADET]],0)</f>
        <v>0</v>
      </c>
      <c r="H483" s="9">
        <f>SK[[#This Row],[SONDAN KALAN FİRE]]</f>
        <v>0</v>
      </c>
    </row>
    <row r="484" spans="1:8" x14ac:dyDescent="0.3">
      <c r="A484" s="12">
        <f>SK[[#This Row],[TARİH]]</f>
        <v>0</v>
      </c>
      <c r="B484" s="9">
        <f>SK[[#This Row],[TÜR]]</f>
        <v>0</v>
      </c>
      <c r="C484" s="9">
        <f>SK[[#This Row],[MALZEME ]]</f>
        <v>0</v>
      </c>
      <c r="D484" s="9">
        <f>SK[[#This Row],[KALİTE]]</f>
        <v>0</v>
      </c>
      <c r="E484" s="11">
        <f>SK[[#This Row],[FİRE]]</f>
        <v>0</v>
      </c>
      <c r="F484" s="11">
        <f>SK[[#This Row],[EŞİT FİRE]]</f>
        <v>0</v>
      </c>
      <c r="G484" s="9">
        <f>IF(MOD(SK[[#This Row],[GEREKLİ ADET]],2)=0,SK[[#This Row],[GEREKLİ ADET]],0)</f>
        <v>0</v>
      </c>
      <c r="H484" s="9">
        <f>SK[[#This Row],[SONDAN KALAN FİRE]]</f>
        <v>0</v>
      </c>
    </row>
    <row r="485" spans="1:8" x14ac:dyDescent="0.3">
      <c r="A485" s="12">
        <f>SK[[#This Row],[TARİH]]</f>
        <v>0</v>
      </c>
      <c r="B485" s="9">
        <f>SK[[#This Row],[TÜR]]</f>
        <v>0</v>
      </c>
      <c r="C485" s="9">
        <f>SK[[#This Row],[MALZEME ]]</f>
        <v>0</v>
      </c>
      <c r="D485" s="9">
        <f>SK[[#This Row],[KALİTE]]</f>
        <v>0</v>
      </c>
      <c r="E485" s="11">
        <f>SK[[#This Row],[FİRE]]</f>
        <v>0</v>
      </c>
      <c r="F485" s="11">
        <f>SK[[#This Row],[EŞİT FİRE]]</f>
        <v>0</v>
      </c>
      <c r="G485" s="9">
        <f>IF(MOD(SK[[#This Row],[GEREKLİ ADET]],2)=0,SK[[#This Row],[GEREKLİ ADET]],0)</f>
        <v>0</v>
      </c>
      <c r="H485" s="9">
        <f>SK[[#This Row],[SONDAN KALAN FİRE]]</f>
        <v>0</v>
      </c>
    </row>
    <row r="486" spans="1:8" x14ac:dyDescent="0.3">
      <c r="A486" s="12">
        <f>SK[[#This Row],[TARİH]]</f>
        <v>0</v>
      </c>
      <c r="B486" s="9">
        <f>SK[[#This Row],[TÜR]]</f>
        <v>0</v>
      </c>
      <c r="C486" s="9">
        <f>SK[[#This Row],[MALZEME ]]</f>
        <v>0</v>
      </c>
      <c r="D486" s="9">
        <f>SK[[#This Row],[KALİTE]]</f>
        <v>0</v>
      </c>
      <c r="E486" s="11">
        <f>SK[[#This Row],[FİRE]]</f>
        <v>0</v>
      </c>
      <c r="F486" s="11">
        <f>SK[[#This Row],[EŞİT FİRE]]</f>
        <v>0</v>
      </c>
      <c r="G486" s="9">
        <f>IF(MOD(SK[[#This Row],[GEREKLİ ADET]],2)=0,SK[[#This Row],[GEREKLİ ADET]],0)</f>
        <v>0</v>
      </c>
      <c r="H486" s="9">
        <f>SK[[#This Row],[SONDAN KALAN FİRE]]</f>
        <v>0</v>
      </c>
    </row>
    <row r="487" spans="1:8" x14ac:dyDescent="0.3">
      <c r="A487" s="12">
        <f>SK[[#This Row],[TARİH]]</f>
        <v>0</v>
      </c>
      <c r="B487" s="9">
        <f>SK[[#This Row],[TÜR]]</f>
        <v>0</v>
      </c>
      <c r="C487" s="9">
        <f>SK[[#This Row],[MALZEME ]]</f>
        <v>0</v>
      </c>
      <c r="D487" s="9">
        <f>SK[[#This Row],[KALİTE]]</f>
        <v>0</v>
      </c>
      <c r="E487" s="11">
        <f>SK[[#This Row],[FİRE]]</f>
        <v>0</v>
      </c>
      <c r="F487" s="11">
        <f>SK[[#This Row],[EŞİT FİRE]]</f>
        <v>0</v>
      </c>
      <c r="G487" s="9">
        <f>IF(MOD(SK[[#This Row],[GEREKLİ ADET]],2)=0,SK[[#This Row],[GEREKLİ ADET]],0)</f>
        <v>0</v>
      </c>
      <c r="H487" s="9">
        <f>SK[[#This Row],[SONDAN KALAN FİRE]]</f>
        <v>0</v>
      </c>
    </row>
    <row r="488" spans="1:8" x14ac:dyDescent="0.3">
      <c r="A488" s="12">
        <f>SK[[#This Row],[TARİH]]</f>
        <v>0</v>
      </c>
      <c r="B488" s="9">
        <f>SK[[#This Row],[TÜR]]</f>
        <v>0</v>
      </c>
      <c r="C488" s="9">
        <f>SK[[#This Row],[MALZEME ]]</f>
        <v>0</v>
      </c>
      <c r="D488" s="9">
        <f>SK[[#This Row],[KALİTE]]</f>
        <v>0</v>
      </c>
      <c r="E488" s="11">
        <f>SK[[#This Row],[FİRE]]</f>
        <v>0</v>
      </c>
      <c r="F488" s="11">
        <f>SK[[#This Row],[EŞİT FİRE]]</f>
        <v>0</v>
      </c>
      <c r="G488" s="9">
        <f>IF(MOD(SK[[#This Row],[GEREKLİ ADET]],2)=0,SK[[#This Row],[GEREKLİ ADET]],0)</f>
        <v>0</v>
      </c>
      <c r="H488" s="9">
        <f>SK[[#This Row],[SONDAN KALAN FİRE]]</f>
        <v>0</v>
      </c>
    </row>
    <row r="489" spans="1:8" x14ac:dyDescent="0.3">
      <c r="A489" s="12">
        <f>SK[[#This Row],[TARİH]]</f>
        <v>0</v>
      </c>
      <c r="B489" s="9">
        <f>SK[[#This Row],[TÜR]]</f>
        <v>0</v>
      </c>
      <c r="C489" s="9">
        <f>SK[[#This Row],[MALZEME ]]</f>
        <v>0</v>
      </c>
      <c r="D489" s="9">
        <f>SK[[#This Row],[KALİTE]]</f>
        <v>0</v>
      </c>
      <c r="E489" s="11">
        <f>SK[[#This Row],[FİRE]]</f>
        <v>0</v>
      </c>
      <c r="F489" s="11">
        <f>SK[[#This Row],[EŞİT FİRE]]</f>
        <v>0</v>
      </c>
      <c r="G489" s="9">
        <f>IF(MOD(SK[[#This Row],[GEREKLİ ADET]],2)=0,SK[[#This Row],[GEREKLİ ADET]],0)</f>
        <v>0</v>
      </c>
      <c r="H489" s="9">
        <f>SK[[#This Row],[SONDAN KALAN FİRE]]</f>
        <v>0</v>
      </c>
    </row>
    <row r="490" spans="1:8" x14ac:dyDescent="0.3">
      <c r="A490" s="12">
        <f>SK[[#This Row],[TARİH]]</f>
        <v>0</v>
      </c>
      <c r="B490" s="9">
        <f>SK[[#This Row],[TÜR]]</f>
        <v>0</v>
      </c>
      <c r="C490" s="9">
        <f>SK[[#This Row],[MALZEME ]]</f>
        <v>0</v>
      </c>
      <c r="D490" s="9">
        <f>SK[[#This Row],[KALİTE]]</f>
        <v>0</v>
      </c>
      <c r="E490" s="11">
        <f>SK[[#This Row],[FİRE]]</f>
        <v>0</v>
      </c>
      <c r="F490" s="11">
        <f>SK[[#This Row],[EŞİT FİRE]]</f>
        <v>0</v>
      </c>
      <c r="G490" s="9">
        <f>IF(MOD(SK[[#This Row],[GEREKLİ ADET]],2)=0,SK[[#This Row],[GEREKLİ ADET]],0)</f>
        <v>0</v>
      </c>
      <c r="H490" s="9">
        <f>SK[[#This Row],[SONDAN KALAN FİRE]]</f>
        <v>0</v>
      </c>
    </row>
    <row r="491" spans="1:8" x14ac:dyDescent="0.3">
      <c r="A491" s="12">
        <f>SK[[#This Row],[TARİH]]</f>
        <v>0</v>
      </c>
      <c r="B491" s="9">
        <f>SK[[#This Row],[TÜR]]</f>
        <v>0</v>
      </c>
      <c r="C491" s="9">
        <f>SK[[#This Row],[MALZEME ]]</f>
        <v>0</v>
      </c>
      <c r="D491" s="9">
        <f>SK[[#This Row],[KALİTE]]</f>
        <v>0</v>
      </c>
      <c r="E491" s="11">
        <f>SK[[#This Row],[FİRE]]</f>
        <v>0</v>
      </c>
      <c r="F491" s="11">
        <f>SK[[#This Row],[EŞİT FİRE]]</f>
        <v>0</v>
      </c>
      <c r="G491" s="9">
        <f>IF(MOD(SK[[#This Row],[GEREKLİ ADET]],2)=0,SK[[#This Row],[GEREKLİ ADET]],0)</f>
        <v>0</v>
      </c>
      <c r="H491" s="9">
        <f>SK[[#This Row],[SONDAN KALAN FİRE]]</f>
        <v>0</v>
      </c>
    </row>
    <row r="492" spans="1:8" x14ac:dyDescent="0.3">
      <c r="A492" s="12">
        <f>SK[[#This Row],[TARİH]]</f>
        <v>0</v>
      </c>
      <c r="B492" s="9">
        <f>SK[[#This Row],[TÜR]]</f>
        <v>0</v>
      </c>
      <c r="C492" s="9">
        <f>SK[[#This Row],[MALZEME ]]</f>
        <v>0</v>
      </c>
      <c r="D492" s="9">
        <f>SK[[#This Row],[KALİTE]]</f>
        <v>0</v>
      </c>
      <c r="E492" s="11">
        <f>SK[[#This Row],[FİRE]]</f>
        <v>0</v>
      </c>
      <c r="F492" s="11">
        <f>SK[[#This Row],[EŞİT FİRE]]</f>
        <v>0</v>
      </c>
      <c r="G492" s="9">
        <f>IF(MOD(SK[[#This Row],[GEREKLİ ADET]],2)=0,SK[[#This Row],[GEREKLİ ADET]],0)</f>
        <v>0</v>
      </c>
      <c r="H492" s="9">
        <f>SK[[#This Row],[SONDAN KALAN FİRE]]</f>
        <v>0</v>
      </c>
    </row>
    <row r="493" spans="1:8" x14ac:dyDescent="0.3">
      <c r="A493" s="12">
        <f>SK[[#This Row],[TARİH]]</f>
        <v>0</v>
      </c>
      <c r="B493" s="9">
        <f>SK[[#This Row],[TÜR]]</f>
        <v>0</v>
      </c>
      <c r="C493" s="9">
        <f>SK[[#This Row],[MALZEME ]]</f>
        <v>0</v>
      </c>
      <c r="D493" s="9">
        <f>SK[[#This Row],[KALİTE]]</f>
        <v>0</v>
      </c>
      <c r="E493" s="11">
        <f>SK[[#This Row],[FİRE]]</f>
        <v>0</v>
      </c>
      <c r="F493" s="11">
        <f>SK[[#This Row],[EŞİT FİRE]]</f>
        <v>0</v>
      </c>
      <c r="G493" s="9">
        <f>IF(MOD(SK[[#This Row],[GEREKLİ ADET]],2)=0,SK[[#This Row],[GEREKLİ ADET]],0)</f>
        <v>0</v>
      </c>
      <c r="H493" s="9">
        <f>SK[[#This Row],[SONDAN KALAN FİRE]]</f>
        <v>0</v>
      </c>
    </row>
    <row r="494" spans="1:8" x14ac:dyDescent="0.3">
      <c r="A494" s="12">
        <f>SK[[#This Row],[TARİH]]</f>
        <v>0</v>
      </c>
      <c r="B494" s="9">
        <f>SK[[#This Row],[TÜR]]</f>
        <v>0</v>
      </c>
      <c r="C494" s="9">
        <f>SK[[#This Row],[MALZEME ]]</f>
        <v>0</v>
      </c>
      <c r="D494" s="9">
        <f>SK[[#This Row],[KALİTE]]</f>
        <v>0</v>
      </c>
      <c r="E494" s="11">
        <f>SK[[#This Row],[FİRE]]</f>
        <v>0</v>
      </c>
      <c r="F494" s="11">
        <f>SK[[#This Row],[EŞİT FİRE]]</f>
        <v>0</v>
      </c>
      <c r="G494" s="9">
        <f>IF(MOD(SK[[#This Row],[GEREKLİ ADET]],2)=0,SK[[#This Row],[GEREKLİ ADET]],0)</f>
        <v>0</v>
      </c>
      <c r="H494" s="9">
        <f>SK[[#This Row],[SONDAN KALAN FİRE]]</f>
        <v>0</v>
      </c>
    </row>
    <row r="495" spans="1:8" x14ac:dyDescent="0.3">
      <c r="A495" s="12">
        <f>SK[[#This Row],[TARİH]]</f>
        <v>0</v>
      </c>
      <c r="B495" s="9">
        <f>SK[[#This Row],[TÜR]]</f>
        <v>0</v>
      </c>
      <c r="C495" s="9">
        <f>SK[[#This Row],[MALZEME ]]</f>
        <v>0</v>
      </c>
      <c r="D495" s="9">
        <f>SK[[#This Row],[KALİTE]]</f>
        <v>0</v>
      </c>
      <c r="E495" s="11">
        <f>SK[[#This Row],[FİRE]]</f>
        <v>0</v>
      </c>
      <c r="F495" s="11">
        <f>SK[[#This Row],[EŞİT FİRE]]</f>
        <v>0</v>
      </c>
      <c r="G495" s="9">
        <f>IF(MOD(SK[[#This Row],[GEREKLİ ADET]],2)=0,SK[[#This Row],[GEREKLİ ADET]],0)</f>
        <v>0</v>
      </c>
      <c r="H495" s="9">
        <f>SK[[#This Row],[SONDAN KALAN FİRE]]</f>
        <v>0</v>
      </c>
    </row>
    <row r="496" spans="1:8" x14ac:dyDescent="0.3">
      <c r="A496" s="12">
        <f>SK[[#This Row],[TARİH]]</f>
        <v>0</v>
      </c>
      <c r="B496" s="9">
        <f>SK[[#This Row],[TÜR]]</f>
        <v>0</v>
      </c>
      <c r="C496" s="9">
        <f>SK[[#This Row],[MALZEME ]]</f>
        <v>0</v>
      </c>
      <c r="D496" s="9">
        <f>SK[[#This Row],[KALİTE]]</f>
        <v>0</v>
      </c>
      <c r="E496" s="11">
        <f>SK[[#This Row],[FİRE]]</f>
        <v>0</v>
      </c>
      <c r="F496" s="11">
        <f>SK[[#This Row],[EŞİT FİRE]]</f>
        <v>0</v>
      </c>
      <c r="G496" s="9">
        <f>IF(MOD(SK[[#This Row],[GEREKLİ ADET]],2)=0,SK[[#This Row],[GEREKLİ ADET]],0)</f>
        <v>0</v>
      </c>
      <c r="H496" s="9">
        <f>SK[[#This Row],[SONDAN KALAN FİRE]]</f>
        <v>0</v>
      </c>
    </row>
    <row r="497" spans="1:8" x14ac:dyDescent="0.3">
      <c r="A497" s="12">
        <f>SK[[#This Row],[TARİH]]</f>
        <v>0</v>
      </c>
      <c r="B497" s="9">
        <f>SK[[#This Row],[TÜR]]</f>
        <v>0</v>
      </c>
      <c r="C497" s="9">
        <f>SK[[#This Row],[MALZEME ]]</f>
        <v>0</v>
      </c>
      <c r="D497" s="9">
        <f>SK[[#This Row],[KALİTE]]</f>
        <v>0</v>
      </c>
      <c r="E497" s="11">
        <f>SK[[#This Row],[FİRE]]</f>
        <v>0</v>
      </c>
      <c r="F497" s="11">
        <f>SK[[#This Row],[EŞİT FİRE]]</f>
        <v>0</v>
      </c>
      <c r="G497" s="9">
        <f>IF(MOD(SK[[#This Row],[GEREKLİ ADET]],2)=0,SK[[#This Row],[GEREKLİ ADET]],0)</f>
        <v>0</v>
      </c>
      <c r="H497" s="9">
        <f>SK[[#This Row],[SONDAN KALAN FİRE]]</f>
        <v>0</v>
      </c>
    </row>
    <row r="498" spans="1:8" x14ac:dyDescent="0.3">
      <c r="A498" s="12">
        <f>SK[[#This Row],[TARİH]]</f>
        <v>0</v>
      </c>
      <c r="B498" s="9">
        <f>SK[[#This Row],[TÜR]]</f>
        <v>0</v>
      </c>
      <c r="C498" s="9">
        <f>SK[[#This Row],[MALZEME ]]</f>
        <v>0</v>
      </c>
      <c r="D498" s="9">
        <f>SK[[#This Row],[KALİTE]]</f>
        <v>0</v>
      </c>
      <c r="E498" s="11">
        <f>SK[[#This Row],[FİRE]]</f>
        <v>0</v>
      </c>
      <c r="F498" s="11">
        <f>SK[[#This Row],[EŞİT FİRE]]</f>
        <v>0</v>
      </c>
      <c r="G498" s="9">
        <f>IF(MOD(SK[[#This Row],[GEREKLİ ADET]],2)=0,SK[[#This Row],[GEREKLİ ADET]],0)</f>
        <v>0</v>
      </c>
      <c r="H498" s="9">
        <f>SK[[#This Row],[SONDAN KALAN FİRE]]</f>
        <v>0</v>
      </c>
    </row>
    <row r="499" spans="1:8" x14ac:dyDescent="0.3">
      <c r="A499" s="12">
        <f>SK[[#This Row],[TARİH]]</f>
        <v>0</v>
      </c>
      <c r="B499" s="9">
        <f>SK[[#This Row],[TÜR]]</f>
        <v>0</v>
      </c>
      <c r="C499" s="9">
        <f>SK[[#This Row],[MALZEME ]]</f>
        <v>0</v>
      </c>
      <c r="D499" s="9">
        <f>SK[[#This Row],[KALİTE]]</f>
        <v>0</v>
      </c>
      <c r="E499" s="11">
        <f>SK[[#This Row],[FİRE]]</f>
        <v>0</v>
      </c>
      <c r="F499" s="11">
        <f>SK[[#This Row],[EŞİT FİRE]]</f>
        <v>0</v>
      </c>
      <c r="G499" s="9">
        <f>IF(MOD(SK[[#This Row],[GEREKLİ ADET]],2)=0,SK[[#This Row],[GEREKLİ ADET]],0)</f>
        <v>0</v>
      </c>
      <c r="H499" s="9">
        <f>SK[[#This Row],[SONDAN KALAN FİRE]]</f>
        <v>0</v>
      </c>
    </row>
    <row r="500" spans="1:8" x14ac:dyDescent="0.3">
      <c r="A500" s="12">
        <f>SK[[#This Row],[TARİH]]</f>
        <v>0</v>
      </c>
      <c r="B500" s="9">
        <f>SK[[#This Row],[TÜR]]</f>
        <v>0</v>
      </c>
      <c r="C500" s="9">
        <f>SK[[#This Row],[MALZEME ]]</f>
        <v>0</v>
      </c>
      <c r="D500" s="9">
        <f>SK[[#This Row],[KALİTE]]</f>
        <v>0</v>
      </c>
      <c r="E500" s="11">
        <f>SK[[#This Row],[FİRE]]</f>
        <v>0</v>
      </c>
      <c r="F500" s="11">
        <f>SK[[#This Row],[EŞİT FİRE]]</f>
        <v>0</v>
      </c>
      <c r="G500" s="9">
        <f>IF(MOD(SK[[#This Row],[GEREKLİ ADET]],2)=0,SK[[#This Row],[GEREKLİ ADET]],0)</f>
        <v>0</v>
      </c>
      <c r="H500" s="9">
        <f>SK[[#This Row],[SONDAN KALAN FİRE]]</f>
        <v>0</v>
      </c>
    </row>
    <row r="501" spans="1:8" x14ac:dyDescent="0.3">
      <c r="A501" s="12">
        <f>SK[[#This Row],[TARİH]]</f>
        <v>0</v>
      </c>
      <c r="B501" s="9">
        <f>SK[[#This Row],[TÜR]]</f>
        <v>0</v>
      </c>
      <c r="C501" s="9">
        <f>SK[[#This Row],[MALZEME ]]</f>
        <v>0</v>
      </c>
      <c r="D501" s="9">
        <f>SK[[#This Row],[KALİTE]]</f>
        <v>0</v>
      </c>
      <c r="E501" s="11">
        <f>SK[[#This Row],[FİRE]]</f>
        <v>0</v>
      </c>
      <c r="F501" s="11">
        <f>SK[[#This Row],[EŞİT FİRE]]</f>
        <v>0</v>
      </c>
      <c r="G501" s="9">
        <f>IF(MOD(SK[[#This Row],[GEREKLİ ADET]],2)=0,SK[[#This Row],[GEREKLİ ADET]],0)</f>
        <v>0</v>
      </c>
      <c r="H501" s="9">
        <f>SK[[#This Row],[SONDAN KALAN FİRE]]</f>
        <v>0</v>
      </c>
    </row>
    <row r="502" spans="1:8" x14ac:dyDescent="0.3">
      <c r="A502" s="12">
        <f>SK[[#This Row],[TARİH]]</f>
        <v>0</v>
      </c>
      <c r="B502" s="9">
        <f>SK[[#This Row],[TÜR]]</f>
        <v>0</v>
      </c>
      <c r="C502" s="9">
        <f>SK[[#This Row],[MALZEME ]]</f>
        <v>0</v>
      </c>
      <c r="D502" s="9">
        <f>SK[[#This Row],[KALİTE]]</f>
        <v>0</v>
      </c>
      <c r="E502" s="11">
        <f>SK[[#This Row],[FİRE]]</f>
        <v>0</v>
      </c>
      <c r="F502" s="11">
        <f>SK[[#This Row],[EŞİT FİRE]]</f>
        <v>0</v>
      </c>
      <c r="G502" s="9">
        <f>IF(MOD(SK[[#This Row],[GEREKLİ ADET]],2)=0,SK[[#This Row],[GEREKLİ ADET]],0)</f>
        <v>0</v>
      </c>
      <c r="H502" s="9">
        <f>SK[[#This Row],[SONDAN KALAN FİRE]]</f>
        <v>0</v>
      </c>
    </row>
    <row r="503" spans="1:8" x14ac:dyDescent="0.3">
      <c r="A503" s="12">
        <f>SK[[#This Row],[TARİH]]</f>
        <v>0</v>
      </c>
      <c r="B503" s="9">
        <f>SK[[#This Row],[TÜR]]</f>
        <v>0</v>
      </c>
      <c r="C503" s="9">
        <f>SK[[#This Row],[MALZEME ]]</f>
        <v>0</v>
      </c>
      <c r="D503" s="9">
        <f>SK[[#This Row],[KALİTE]]</f>
        <v>0</v>
      </c>
      <c r="E503" s="11">
        <f>SK[[#This Row],[FİRE]]</f>
        <v>0</v>
      </c>
      <c r="F503" s="11">
        <f>SK[[#This Row],[EŞİT FİRE]]</f>
        <v>0</v>
      </c>
      <c r="G503" s="9">
        <f>IF(MOD(SK[[#This Row],[GEREKLİ ADET]],2)=0,SK[[#This Row],[GEREKLİ ADET]],0)</f>
        <v>0</v>
      </c>
      <c r="H503" s="9">
        <f>SK[[#This Row],[SONDAN KALAN FİRE]]</f>
        <v>0</v>
      </c>
    </row>
    <row r="504" spans="1:8" x14ac:dyDescent="0.3">
      <c r="A504" s="12">
        <f>SK[[#This Row],[TARİH]]</f>
        <v>0</v>
      </c>
      <c r="B504" s="9">
        <f>SK[[#This Row],[TÜR]]</f>
        <v>0</v>
      </c>
      <c r="C504" s="9">
        <f>SK[[#This Row],[MALZEME ]]</f>
        <v>0</v>
      </c>
      <c r="D504" s="9">
        <f>SK[[#This Row],[KALİTE]]</f>
        <v>0</v>
      </c>
      <c r="E504" s="11">
        <f>SK[[#This Row],[FİRE]]</f>
        <v>0</v>
      </c>
      <c r="F504" s="11">
        <f>SK[[#This Row],[EŞİT FİRE]]</f>
        <v>0</v>
      </c>
      <c r="G504" s="9">
        <f>IF(MOD(SK[[#This Row],[GEREKLİ ADET]],2)=0,SK[[#This Row],[GEREKLİ ADET]],0)</f>
        <v>0</v>
      </c>
      <c r="H504" s="9">
        <f>SK[[#This Row],[SONDAN KALAN FİRE]]</f>
        <v>0</v>
      </c>
    </row>
    <row r="505" spans="1:8" x14ac:dyDescent="0.3">
      <c r="A505" s="12">
        <f>SK[[#This Row],[TARİH]]</f>
        <v>0</v>
      </c>
      <c r="B505" s="9">
        <f>SK[[#This Row],[TÜR]]</f>
        <v>0</v>
      </c>
      <c r="C505" s="9">
        <f>SK[[#This Row],[MALZEME ]]</f>
        <v>0</v>
      </c>
      <c r="D505" s="9">
        <f>SK[[#This Row],[KALİTE]]</f>
        <v>0</v>
      </c>
      <c r="E505" s="11">
        <f>SK[[#This Row],[FİRE]]</f>
        <v>0</v>
      </c>
      <c r="F505" s="11">
        <f>SK[[#This Row],[EŞİT FİRE]]</f>
        <v>0</v>
      </c>
      <c r="G505" s="9">
        <f>IF(MOD(SK[[#This Row],[GEREKLİ ADET]],2)=0,SK[[#This Row],[GEREKLİ ADET]],0)</f>
        <v>0</v>
      </c>
      <c r="H505" s="9">
        <f>SK[[#This Row],[SONDAN KALAN FİRE]]</f>
        <v>0</v>
      </c>
    </row>
    <row r="506" spans="1:8" x14ac:dyDescent="0.3">
      <c r="A506" s="12">
        <f>SK[[#This Row],[TARİH]]</f>
        <v>0</v>
      </c>
      <c r="B506" s="9">
        <f>SK[[#This Row],[TÜR]]</f>
        <v>0</v>
      </c>
      <c r="C506" s="9">
        <f>SK[[#This Row],[MALZEME ]]</f>
        <v>0</v>
      </c>
      <c r="D506" s="9">
        <f>SK[[#This Row],[KALİTE]]</f>
        <v>0</v>
      </c>
      <c r="E506" s="11">
        <f>SK[[#This Row],[FİRE]]</f>
        <v>0</v>
      </c>
      <c r="F506" s="11">
        <f>SK[[#This Row],[EŞİT FİRE]]</f>
        <v>0</v>
      </c>
      <c r="G506" s="9">
        <f>IF(MOD(SK[[#This Row],[GEREKLİ ADET]],2)=0,SK[[#This Row],[GEREKLİ ADET]],0)</f>
        <v>0</v>
      </c>
      <c r="H506" s="9">
        <f>SK[[#This Row],[SONDAN KALAN FİRE]]</f>
        <v>0</v>
      </c>
    </row>
    <row r="507" spans="1:8" x14ac:dyDescent="0.3">
      <c r="A507" s="12">
        <f>SK[[#This Row],[TARİH]]</f>
        <v>0</v>
      </c>
      <c r="B507" s="9">
        <f>SK[[#This Row],[TÜR]]</f>
        <v>0</v>
      </c>
      <c r="C507" s="9">
        <f>SK[[#This Row],[MALZEME ]]</f>
        <v>0</v>
      </c>
      <c r="D507" s="9">
        <f>SK[[#This Row],[KALİTE]]</f>
        <v>0</v>
      </c>
      <c r="E507" s="11">
        <f>SK[[#This Row],[FİRE]]</f>
        <v>0</v>
      </c>
      <c r="F507" s="11">
        <f>SK[[#This Row],[EŞİT FİRE]]</f>
        <v>0</v>
      </c>
      <c r="G507" s="9">
        <f>IF(MOD(SK[[#This Row],[GEREKLİ ADET]],2)=0,SK[[#This Row],[GEREKLİ ADET]],0)</f>
        <v>0</v>
      </c>
      <c r="H507" s="9">
        <f>SK[[#This Row],[SONDAN KALAN FİRE]]</f>
        <v>0</v>
      </c>
    </row>
    <row r="508" spans="1:8" x14ac:dyDescent="0.3">
      <c r="A508" s="12">
        <f>SK[[#This Row],[TARİH]]</f>
        <v>0</v>
      </c>
      <c r="B508" s="9">
        <f>SK[[#This Row],[TÜR]]</f>
        <v>0</v>
      </c>
      <c r="C508" s="9">
        <f>SK[[#This Row],[MALZEME ]]</f>
        <v>0</v>
      </c>
      <c r="D508" s="9">
        <f>SK[[#This Row],[KALİTE]]</f>
        <v>0</v>
      </c>
      <c r="E508" s="11">
        <f>SK[[#This Row],[FİRE]]</f>
        <v>0</v>
      </c>
      <c r="F508" s="11">
        <f>SK[[#This Row],[EŞİT FİRE]]</f>
        <v>0</v>
      </c>
      <c r="G508" s="9">
        <f>IF(MOD(SK[[#This Row],[GEREKLİ ADET]],2)=0,SK[[#This Row],[GEREKLİ ADET]],0)</f>
        <v>0</v>
      </c>
      <c r="H508" s="9">
        <f>SK[[#This Row],[SONDAN KALAN FİRE]]</f>
        <v>0</v>
      </c>
    </row>
    <row r="509" spans="1:8" x14ac:dyDescent="0.3">
      <c r="A509" s="12">
        <f>SK[[#This Row],[TARİH]]</f>
        <v>0</v>
      </c>
      <c r="B509" s="9">
        <f>SK[[#This Row],[TÜR]]</f>
        <v>0</v>
      </c>
      <c r="C509" s="9">
        <f>SK[[#This Row],[MALZEME ]]</f>
        <v>0</v>
      </c>
      <c r="D509" s="9">
        <f>SK[[#This Row],[KALİTE]]</f>
        <v>0</v>
      </c>
      <c r="E509" s="11">
        <f>SK[[#This Row],[FİRE]]</f>
        <v>0</v>
      </c>
      <c r="F509" s="11">
        <f>SK[[#This Row],[EŞİT FİRE]]</f>
        <v>0</v>
      </c>
      <c r="G509" s="9">
        <f>IF(MOD(SK[[#This Row],[GEREKLİ ADET]],2)=0,SK[[#This Row],[GEREKLİ ADET]],0)</f>
        <v>0</v>
      </c>
      <c r="H509" s="9">
        <f>SK[[#This Row],[SONDAN KALAN FİRE]]</f>
        <v>0</v>
      </c>
    </row>
    <row r="510" spans="1:8" x14ac:dyDescent="0.3">
      <c r="A510" s="12">
        <f>SK[[#This Row],[TARİH]]</f>
        <v>0</v>
      </c>
      <c r="B510" s="9">
        <f>SK[[#This Row],[TÜR]]</f>
        <v>0</v>
      </c>
      <c r="C510" s="9">
        <f>SK[[#This Row],[MALZEME ]]</f>
        <v>0</v>
      </c>
      <c r="D510" s="9">
        <f>SK[[#This Row],[KALİTE]]</f>
        <v>0</v>
      </c>
      <c r="E510" s="11">
        <f>SK[[#This Row],[FİRE]]</f>
        <v>0</v>
      </c>
      <c r="F510" s="11">
        <f>SK[[#This Row],[EŞİT FİRE]]</f>
        <v>0</v>
      </c>
      <c r="G510" s="9">
        <f>IF(MOD(SK[[#This Row],[GEREKLİ ADET]],2)=0,SK[[#This Row],[GEREKLİ ADET]],0)</f>
        <v>0</v>
      </c>
      <c r="H510" s="9">
        <f>SK[[#This Row],[SONDAN KALAN FİRE]]</f>
        <v>0</v>
      </c>
    </row>
    <row r="511" spans="1:8" x14ac:dyDescent="0.3">
      <c r="A511" s="12">
        <f>SK[[#This Row],[TARİH]]</f>
        <v>0</v>
      </c>
      <c r="B511" s="9">
        <f>SK[[#This Row],[TÜR]]</f>
        <v>0</v>
      </c>
      <c r="C511" s="9">
        <f>SK[[#This Row],[MALZEME ]]</f>
        <v>0</v>
      </c>
      <c r="D511" s="9">
        <f>SK[[#This Row],[KALİTE]]</f>
        <v>0</v>
      </c>
      <c r="E511" s="11">
        <f>SK[[#This Row],[FİRE]]</f>
        <v>0</v>
      </c>
      <c r="F511" s="11">
        <f>SK[[#This Row],[EŞİT FİRE]]</f>
        <v>0</v>
      </c>
      <c r="G511" s="9">
        <f>IF(MOD(SK[[#This Row],[GEREKLİ ADET]],2)=0,SK[[#This Row],[GEREKLİ ADET]],0)</f>
        <v>0</v>
      </c>
      <c r="H511" s="9">
        <f>SK[[#This Row],[SONDAN KALAN FİRE]]</f>
        <v>0</v>
      </c>
    </row>
    <row r="512" spans="1:8" x14ac:dyDescent="0.3">
      <c r="A512" s="12">
        <f>SK[[#This Row],[TARİH]]</f>
        <v>0</v>
      </c>
      <c r="B512" s="9">
        <f>SK[[#This Row],[TÜR]]</f>
        <v>0</v>
      </c>
      <c r="C512" s="9">
        <f>SK[[#This Row],[MALZEME ]]</f>
        <v>0</v>
      </c>
      <c r="D512" s="9">
        <f>SK[[#This Row],[KALİTE]]</f>
        <v>0</v>
      </c>
      <c r="E512" s="11">
        <f>SK[[#This Row],[FİRE]]</f>
        <v>0</v>
      </c>
      <c r="F512" s="11">
        <f>SK[[#This Row],[EŞİT FİRE]]</f>
        <v>0</v>
      </c>
      <c r="G512" s="9">
        <f>IF(MOD(SK[[#This Row],[GEREKLİ ADET]],2)=0,SK[[#This Row],[GEREKLİ ADET]],0)</f>
        <v>0</v>
      </c>
      <c r="H512" s="9">
        <f>SK[[#This Row],[SONDAN KALAN FİRE]]</f>
        <v>0</v>
      </c>
    </row>
    <row r="513" spans="1:8" x14ac:dyDescent="0.3">
      <c r="A513" s="12">
        <f>SK[[#This Row],[TARİH]]</f>
        <v>0</v>
      </c>
      <c r="B513" s="9">
        <f>SK[[#This Row],[TÜR]]</f>
        <v>0</v>
      </c>
      <c r="C513" s="9">
        <f>SK[[#This Row],[MALZEME ]]</f>
        <v>0</v>
      </c>
      <c r="D513" s="9">
        <f>SK[[#This Row],[KALİTE]]</f>
        <v>0</v>
      </c>
      <c r="E513" s="11">
        <f>SK[[#This Row],[FİRE]]</f>
        <v>0</v>
      </c>
      <c r="F513" s="11">
        <f>SK[[#This Row],[EŞİT FİRE]]</f>
        <v>0</v>
      </c>
      <c r="G513" s="9">
        <f>IF(MOD(SK[[#This Row],[GEREKLİ ADET]],2)=0,SK[[#This Row],[GEREKLİ ADET]],0)</f>
        <v>0</v>
      </c>
      <c r="H513" s="9">
        <f>SK[[#This Row],[SONDAN KALAN FİRE]]</f>
        <v>0</v>
      </c>
    </row>
    <row r="514" spans="1:8" x14ac:dyDescent="0.3">
      <c r="A514" s="12">
        <f>SK[[#This Row],[TARİH]]</f>
        <v>0</v>
      </c>
      <c r="B514" s="9">
        <f>SK[[#This Row],[TÜR]]</f>
        <v>0</v>
      </c>
      <c r="C514" s="9">
        <f>SK[[#This Row],[MALZEME ]]</f>
        <v>0</v>
      </c>
      <c r="D514" s="9">
        <f>SK[[#This Row],[KALİTE]]</f>
        <v>0</v>
      </c>
      <c r="E514" s="11">
        <f>SK[[#This Row],[FİRE]]</f>
        <v>0</v>
      </c>
      <c r="F514" s="11">
        <f>SK[[#This Row],[EŞİT FİRE]]</f>
        <v>0</v>
      </c>
      <c r="G514" s="9">
        <f>IF(MOD(SK[[#This Row],[GEREKLİ ADET]],2)=0,SK[[#This Row],[GEREKLİ ADET]],0)</f>
        <v>0</v>
      </c>
      <c r="H514" s="9">
        <f>SK[[#This Row],[SONDAN KALAN FİRE]]</f>
        <v>0</v>
      </c>
    </row>
    <row r="515" spans="1:8" x14ac:dyDescent="0.3">
      <c r="A515" s="12">
        <f>SK[[#This Row],[TARİH]]</f>
        <v>0</v>
      </c>
      <c r="B515" s="9">
        <f>SK[[#This Row],[TÜR]]</f>
        <v>0</v>
      </c>
      <c r="C515" s="9">
        <f>SK[[#This Row],[MALZEME ]]</f>
        <v>0</v>
      </c>
      <c r="D515" s="9">
        <f>SK[[#This Row],[KALİTE]]</f>
        <v>0</v>
      </c>
      <c r="E515" s="11">
        <f>SK[[#This Row],[FİRE]]</f>
        <v>0</v>
      </c>
      <c r="F515" s="11">
        <f>SK[[#This Row],[EŞİT FİRE]]</f>
        <v>0</v>
      </c>
      <c r="G515" s="9">
        <f>IF(MOD(SK[[#This Row],[GEREKLİ ADET]],2)=0,SK[[#This Row],[GEREKLİ ADET]],0)</f>
        <v>0</v>
      </c>
      <c r="H515" s="9">
        <f>SK[[#This Row],[SONDAN KALAN FİRE]]</f>
        <v>0</v>
      </c>
    </row>
    <row r="516" spans="1:8" x14ac:dyDescent="0.3">
      <c r="A516" s="12">
        <f>SK[[#This Row],[TARİH]]</f>
        <v>0</v>
      </c>
      <c r="B516" s="9">
        <f>SK[[#This Row],[TÜR]]</f>
        <v>0</v>
      </c>
      <c r="C516" s="9">
        <f>SK[[#This Row],[MALZEME ]]</f>
        <v>0</v>
      </c>
      <c r="D516" s="9">
        <f>SK[[#This Row],[KALİTE]]</f>
        <v>0</v>
      </c>
      <c r="E516" s="11">
        <f>SK[[#This Row],[FİRE]]</f>
        <v>0</v>
      </c>
      <c r="F516" s="11">
        <f>SK[[#This Row],[EŞİT FİRE]]</f>
        <v>0</v>
      </c>
      <c r="G516" s="9">
        <f>IF(MOD(SK[[#This Row],[GEREKLİ ADET]],2)=0,SK[[#This Row],[GEREKLİ ADET]],0)</f>
        <v>0</v>
      </c>
      <c r="H516" s="9">
        <f>SK[[#This Row],[SONDAN KALAN FİRE]]</f>
        <v>0</v>
      </c>
    </row>
    <row r="517" spans="1:8" x14ac:dyDescent="0.3">
      <c r="A517" s="12">
        <f>SK[[#This Row],[TARİH]]</f>
        <v>0</v>
      </c>
      <c r="B517" s="9">
        <f>SK[[#This Row],[TÜR]]</f>
        <v>0</v>
      </c>
      <c r="C517" s="9">
        <f>SK[[#This Row],[MALZEME ]]</f>
        <v>0</v>
      </c>
      <c r="D517" s="9">
        <f>SK[[#This Row],[KALİTE]]</f>
        <v>0</v>
      </c>
      <c r="E517" s="11">
        <f>SK[[#This Row],[FİRE]]</f>
        <v>0</v>
      </c>
      <c r="F517" s="11">
        <f>SK[[#This Row],[EŞİT FİRE]]</f>
        <v>0</v>
      </c>
      <c r="G517" s="9">
        <f>IF(MOD(SK[[#This Row],[GEREKLİ ADET]],2)=0,SK[[#This Row],[GEREKLİ ADET]],0)</f>
        <v>0</v>
      </c>
      <c r="H517" s="9">
        <f>SK[[#This Row],[SONDAN KALAN FİRE]]</f>
        <v>0</v>
      </c>
    </row>
    <row r="518" spans="1:8" x14ac:dyDescent="0.3">
      <c r="A518" s="12">
        <f>SK[[#This Row],[TARİH]]</f>
        <v>0</v>
      </c>
      <c r="B518" s="9">
        <f>SK[[#This Row],[TÜR]]</f>
        <v>0</v>
      </c>
      <c r="C518" s="9">
        <f>SK[[#This Row],[MALZEME ]]</f>
        <v>0</v>
      </c>
      <c r="D518" s="9">
        <f>SK[[#This Row],[KALİTE]]</f>
        <v>0</v>
      </c>
      <c r="E518" s="11">
        <f>SK[[#This Row],[FİRE]]</f>
        <v>0</v>
      </c>
      <c r="F518" s="11">
        <f>SK[[#This Row],[EŞİT FİRE]]</f>
        <v>0</v>
      </c>
      <c r="G518" s="9">
        <f>IF(MOD(SK[[#This Row],[GEREKLİ ADET]],2)=0,SK[[#This Row],[GEREKLİ ADET]],0)</f>
        <v>0</v>
      </c>
      <c r="H518" s="9">
        <f>SK[[#This Row],[SONDAN KALAN FİRE]]</f>
        <v>0</v>
      </c>
    </row>
    <row r="519" spans="1:8" x14ac:dyDescent="0.3">
      <c r="A519" s="12">
        <f>SK[[#This Row],[TARİH]]</f>
        <v>0</v>
      </c>
      <c r="B519" s="9">
        <f>SK[[#This Row],[TÜR]]</f>
        <v>0</v>
      </c>
      <c r="C519" s="9">
        <f>SK[[#This Row],[MALZEME ]]</f>
        <v>0</v>
      </c>
      <c r="D519" s="9">
        <f>SK[[#This Row],[KALİTE]]</f>
        <v>0</v>
      </c>
      <c r="E519" s="11">
        <f>SK[[#This Row],[FİRE]]</f>
        <v>0</v>
      </c>
      <c r="F519" s="11">
        <f>SK[[#This Row],[EŞİT FİRE]]</f>
        <v>0</v>
      </c>
      <c r="G519" s="9">
        <f>IF(MOD(SK[[#This Row],[GEREKLİ ADET]],2)=0,SK[[#This Row],[GEREKLİ ADET]],0)</f>
        <v>0</v>
      </c>
      <c r="H519" s="9">
        <f>SK[[#This Row],[SONDAN KALAN FİRE]]</f>
        <v>0</v>
      </c>
    </row>
    <row r="520" spans="1:8" x14ac:dyDescent="0.3">
      <c r="A520" s="12">
        <f>SK[[#This Row],[TARİH]]</f>
        <v>0</v>
      </c>
      <c r="B520" s="9">
        <f>SK[[#This Row],[TÜR]]</f>
        <v>0</v>
      </c>
      <c r="C520" s="9">
        <f>SK[[#This Row],[MALZEME ]]</f>
        <v>0</v>
      </c>
      <c r="D520" s="9">
        <f>SK[[#This Row],[KALİTE]]</f>
        <v>0</v>
      </c>
      <c r="E520" s="11">
        <f>SK[[#This Row],[FİRE]]</f>
        <v>0</v>
      </c>
      <c r="F520" s="11">
        <f>SK[[#This Row],[EŞİT FİRE]]</f>
        <v>0</v>
      </c>
      <c r="G520" s="9">
        <f>IF(MOD(SK[[#This Row],[GEREKLİ ADET]],2)=0,SK[[#This Row],[GEREKLİ ADET]],0)</f>
        <v>0</v>
      </c>
      <c r="H520" s="9">
        <f>SK[[#This Row],[SONDAN KALAN FİRE]]</f>
        <v>0</v>
      </c>
    </row>
    <row r="521" spans="1:8" x14ac:dyDescent="0.3">
      <c r="A521" s="12">
        <f>SK[[#This Row],[TARİH]]</f>
        <v>0</v>
      </c>
      <c r="B521" s="9">
        <f>SK[[#This Row],[TÜR]]</f>
        <v>0</v>
      </c>
      <c r="C521" s="9">
        <f>SK[[#This Row],[MALZEME ]]</f>
        <v>0</v>
      </c>
      <c r="D521" s="9">
        <f>SK[[#This Row],[KALİTE]]</f>
        <v>0</v>
      </c>
      <c r="E521" s="11">
        <f>SK[[#This Row],[FİRE]]</f>
        <v>0</v>
      </c>
      <c r="F521" s="11">
        <f>SK[[#This Row],[EŞİT FİRE]]</f>
        <v>0</v>
      </c>
      <c r="G521" s="9">
        <f>IF(MOD(SK[[#This Row],[GEREKLİ ADET]],2)=0,SK[[#This Row],[GEREKLİ ADET]],0)</f>
        <v>0</v>
      </c>
      <c r="H521" s="9">
        <f>SK[[#This Row],[SONDAN KALAN FİRE]]</f>
        <v>0</v>
      </c>
    </row>
    <row r="522" spans="1:8" x14ac:dyDescent="0.3">
      <c r="A522" s="12">
        <f>SK[[#This Row],[TARİH]]</f>
        <v>0</v>
      </c>
      <c r="B522" s="9">
        <f>SK[[#This Row],[TÜR]]</f>
        <v>0</v>
      </c>
      <c r="C522" s="9">
        <f>SK[[#This Row],[MALZEME ]]</f>
        <v>0</v>
      </c>
      <c r="D522" s="9">
        <f>SK[[#This Row],[KALİTE]]</f>
        <v>0</v>
      </c>
      <c r="E522" s="11">
        <f>SK[[#This Row],[FİRE]]</f>
        <v>0</v>
      </c>
      <c r="F522" s="11">
        <f>SK[[#This Row],[EŞİT FİRE]]</f>
        <v>0</v>
      </c>
      <c r="G522" s="9">
        <f>IF(MOD(SK[[#This Row],[GEREKLİ ADET]],2)=0,SK[[#This Row],[GEREKLİ ADET]],0)</f>
        <v>0</v>
      </c>
      <c r="H522" s="9">
        <f>SK[[#This Row],[SONDAN KALAN FİRE]]</f>
        <v>0</v>
      </c>
    </row>
    <row r="523" spans="1:8" x14ac:dyDescent="0.3">
      <c r="A523" s="12">
        <f>SK[[#This Row],[TARİH]]</f>
        <v>0</v>
      </c>
      <c r="B523" s="9">
        <f>SK[[#This Row],[TÜR]]</f>
        <v>0</v>
      </c>
      <c r="C523" s="9">
        <f>SK[[#This Row],[MALZEME ]]</f>
        <v>0</v>
      </c>
      <c r="D523" s="9">
        <f>SK[[#This Row],[KALİTE]]</f>
        <v>0</v>
      </c>
      <c r="E523" s="11">
        <f>SK[[#This Row],[FİRE]]</f>
        <v>0</v>
      </c>
      <c r="F523" s="11">
        <f>SK[[#This Row],[EŞİT FİRE]]</f>
        <v>0</v>
      </c>
      <c r="G523" s="9">
        <f>IF(MOD(SK[[#This Row],[GEREKLİ ADET]],2)=0,SK[[#This Row],[GEREKLİ ADET]],0)</f>
        <v>0</v>
      </c>
      <c r="H523" s="9">
        <f>SK[[#This Row],[SONDAN KALAN FİRE]]</f>
        <v>0</v>
      </c>
    </row>
    <row r="524" spans="1:8" x14ac:dyDescent="0.3">
      <c r="A524" s="12">
        <f>SK[[#This Row],[TARİH]]</f>
        <v>0</v>
      </c>
      <c r="B524" s="9">
        <f>SK[[#This Row],[TÜR]]</f>
        <v>0</v>
      </c>
      <c r="C524" s="9">
        <f>SK[[#This Row],[MALZEME ]]</f>
        <v>0</v>
      </c>
      <c r="D524" s="9">
        <f>SK[[#This Row],[KALİTE]]</f>
        <v>0</v>
      </c>
      <c r="E524" s="11">
        <f>SK[[#This Row],[FİRE]]</f>
        <v>0</v>
      </c>
      <c r="F524" s="11">
        <f>SK[[#This Row],[EŞİT FİRE]]</f>
        <v>0</v>
      </c>
      <c r="G524" s="9">
        <f>IF(MOD(SK[[#This Row],[GEREKLİ ADET]],2)=0,SK[[#This Row],[GEREKLİ ADET]],0)</f>
        <v>0</v>
      </c>
      <c r="H524" s="9">
        <f>SK[[#This Row],[SONDAN KALAN FİRE]]</f>
        <v>0</v>
      </c>
    </row>
    <row r="525" spans="1:8" x14ac:dyDescent="0.3">
      <c r="A525" s="12">
        <f>SK[[#This Row],[TARİH]]</f>
        <v>0</v>
      </c>
      <c r="B525" s="9">
        <f>SK[[#This Row],[TÜR]]</f>
        <v>0</v>
      </c>
      <c r="C525" s="9">
        <f>SK[[#This Row],[MALZEME ]]</f>
        <v>0</v>
      </c>
      <c r="D525" s="9">
        <f>SK[[#This Row],[KALİTE]]</f>
        <v>0</v>
      </c>
      <c r="E525" s="11">
        <f>SK[[#This Row],[FİRE]]</f>
        <v>0</v>
      </c>
      <c r="F525" s="11">
        <f>SK[[#This Row],[EŞİT FİRE]]</f>
        <v>0</v>
      </c>
      <c r="G525" s="9">
        <f>IF(MOD(SK[[#This Row],[GEREKLİ ADET]],2)=0,SK[[#This Row],[GEREKLİ ADET]],0)</f>
        <v>0</v>
      </c>
      <c r="H525" s="9">
        <f>SK[[#This Row],[SONDAN KALAN FİRE]]</f>
        <v>0</v>
      </c>
    </row>
    <row r="526" spans="1:8" x14ac:dyDescent="0.3">
      <c r="A526" s="12">
        <f>SK[[#This Row],[TARİH]]</f>
        <v>0</v>
      </c>
      <c r="B526" s="9">
        <f>SK[[#This Row],[TÜR]]</f>
        <v>0</v>
      </c>
      <c r="C526" s="9">
        <f>SK[[#This Row],[MALZEME ]]</f>
        <v>0</v>
      </c>
      <c r="D526" s="9">
        <f>SK[[#This Row],[KALİTE]]</f>
        <v>0</v>
      </c>
      <c r="E526" s="11">
        <f>SK[[#This Row],[FİRE]]</f>
        <v>0</v>
      </c>
      <c r="F526" s="11">
        <f>SK[[#This Row],[EŞİT FİRE]]</f>
        <v>0</v>
      </c>
      <c r="G526" s="9">
        <f>IF(MOD(SK[[#This Row],[GEREKLİ ADET]],2)=0,SK[[#This Row],[GEREKLİ ADET]],0)</f>
        <v>0</v>
      </c>
      <c r="H526" s="9">
        <f>SK[[#This Row],[SONDAN KALAN FİRE]]</f>
        <v>0</v>
      </c>
    </row>
    <row r="527" spans="1:8" x14ac:dyDescent="0.3">
      <c r="A527" s="12">
        <f>SK[[#This Row],[TARİH]]</f>
        <v>0</v>
      </c>
      <c r="B527" s="9">
        <f>SK[[#This Row],[TÜR]]</f>
        <v>0</v>
      </c>
      <c r="C527" s="9">
        <f>SK[[#This Row],[MALZEME ]]</f>
        <v>0</v>
      </c>
      <c r="D527" s="9">
        <f>SK[[#This Row],[KALİTE]]</f>
        <v>0</v>
      </c>
      <c r="E527" s="11">
        <f>SK[[#This Row],[FİRE]]</f>
        <v>0</v>
      </c>
      <c r="F527" s="11">
        <f>SK[[#This Row],[EŞİT FİRE]]</f>
        <v>0</v>
      </c>
      <c r="G527" s="9">
        <f>IF(MOD(SK[[#This Row],[GEREKLİ ADET]],2)=0,SK[[#This Row],[GEREKLİ ADET]],0)</f>
        <v>0</v>
      </c>
      <c r="H527" s="9">
        <f>SK[[#This Row],[SONDAN KALAN FİRE]]</f>
        <v>0</v>
      </c>
    </row>
    <row r="528" spans="1:8" x14ac:dyDescent="0.3">
      <c r="A528" s="12">
        <f>SK[[#This Row],[TARİH]]</f>
        <v>0</v>
      </c>
      <c r="B528" s="9">
        <f>SK[[#This Row],[TÜR]]</f>
        <v>0</v>
      </c>
      <c r="C528" s="9">
        <f>SK[[#This Row],[MALZEME ]]</f>
        <v>0</v>
      </c>
      <c r="D528" s="9">
        <f>SK[[#This Row],[KALİTE]]</f>
        <v>0</v>
      </c>
      <c r="E528" s="11">
        <f>SK[[#This Row],[FİRE]]</f>
        <v>0</v>
      </c>
      <c r="F528" s="11">
        <f>SK[[#This Row],[EŞİT FİRE]]</f>
        <v>0</v>
      </c>
      <c r="G528" s="9">
        <f>IF(MOD(SK[[#This Row],[GEREKLİ ADET]],2)=0,SK[[#This Row],[GEREKLİ ADET]],0)</f>
        <v>0</v>
      </c>
      <c r="H528" s="9">
        <f>SK[[#This Row],[SONDAN KALAN FİRE]]</f>
        <v>0</v>
      </c>
    </row>
    <row r="529" spans="1:8" x14ac:dyDescent="0.3">
      <c r="A529" s="12">
        <f>SK[[#This Row],[TARİH]]</f>
        <v>0</v>
      </c>
      <c r="B529" s="9">
        <f>SK[[#This Row],[TÜR]]</f>
        <v>0</v>
      </c>
      <c r="C529" s="9">
        <f>SK[[#This Row],[MALZEME ]]</f>
        <v>0</v>
      </c>
      <c r="D529" s="9">
        <f>SK[[#This Row],[KALİTE]]</f>
        <v>0</v>
      </c>
      <c r="E529" s="11">
        <f>SK[[#This Row],[FİRE]]</f>
        <v>0</v>
      </c>
      <c r="F529" s="11">
        <f>SK[[#This Row],[EŞİT FİRE]]</f>
        <v>0</v>
      </c>
      <c r="G529" s="9">
        <f>IF(MOD(SK[[#This Row],[GEREKLİ ADET]],2)=0,SK[[#This Row],[GEREKLİ ADET]],0)</f>
        <v>0</v>
      </c>
      <c r="H529" s="9">
        <f>SK[[#This Row],[SONDAN KALAN FİRE]]</f>
        <v>0</v>
      </c>
    </row>
    <row r="530" spans="1:8" x14ac:dyDescent="0.3">
      <c r="A530" s="12">
        <f>SK[[#This Row],[TARİH]]</f>
        <v>0</v>
      </c>
      <c r="B530" s="9">
        <f>SK[[#This Row],[TÜR]]</f>
        <v>0</v>
      </c>
      <c r="C530" s="9">
        <f>SK[[#This Row],[MALZEME ]]</f>
        <v>0</v>
      </c>
      <c r="D530" s="9">
        <f>SK[[#This Row],[KALİTE]]</f>
        <v>0</v>
      </c>
      <c r="E530" s="11">
        <f>SK[[#This Row],[FİRE]]</f>
        <v>0</v>
      </c>
      <c r="F530" s="11">
        <f>SK[[#This Row],[EŞİT FİRE]]</f>
        <v>0</v>
      </c>
      <c r="G530" s="9">
        <f>IF(MOD(SK[[#This Row],[GEREKLİ ADET]],2)=0,SK[[#This Row],[GEREKLİ ADET]],0)</f>
        <v>0</v>
      </c>
      <c r="H530" s="9">
        <f>SK[[#This Row],[SONDAN KALAN FİRE]]</f>
        <v>0</v>
      </c>
    </row>
    <row r="531" spans="1:8" x14ac:dyDescent="0.3">
      <c r="A531" s="12">
        <f>SK[[#This Row],[TARİH]]</f>
        <v>0</v>
      </c>
      <c r="B531" s="9">
        <f>SK[[#This Row],[TÜR]]</f>
        <v>0</v>
      </c>
      <c r="C531" s="9">
        <f>SK[[#This Row],[MALZEME ]]</f>
        <v>0</v>
      </c>
      <c r="D531" s="9">
        <f>SK[[#This Row],[KALİTE]]</f>
        <v>0</v>
      </c>
      <c r="E531" s="11">
        <f>SK[[#This Row],[FİRE]]</f>
        <v>0</v>
      </c>
      <c r="F531" s="11">
        <f>SK[[#This Row],[EŞİT FİRE]]</f>
        <v>0</v>
      </c>
      <c r="G531" s="9">
        <f>IF(MOD(SK[[#This Row],[GEREKLİ ADET]],2)=0,SK[[#This Row],[GEREKLİ ADET]],0)</f>
        <v>0</v>
      </c>
      <c r="H531" s="9">
        <f>SK[[#This Row],[SONDAN KALAN FİRE]]</f>
        <v>0</v>
      </c>
    </row>
    <row r="532" spans="1:8" x14ac:dyDescent="0.3">
      <c r="A532" s="12">
        <f>SK[[#This Row],[TARİH]]</f>
        <v>0</v>
      </c>
      <c r="B532" s="9">
        <f>SK[[#This Row],[TÜR]]</f>
        <v>0</v>
      </c>
      <c r="C532" s="9">
        <f>SK[[#This Row],[MALZEME ]]</f>
        <v>0</v>
      </c>
      <c r="D532" s="9">
        <f>SK[[#This Row],[KALİTE]]</f>
        <v>0</v>
      </c>
      <c r="E532" s="11">
        <f>SK[[#This Row],[FİRE]]</f>
        <v>0</v>
      </c>
      <c r="F532" s="11">
        <f>SK[[#This Row],[EŞİT FİRE]]</f>
        <v>0</v>
      </c>
      <c r="G532" s="9">
        <f>IF(MOD(SK[[#This Row],[GEREKLİ ADET]],2)=0,SK[[#This Row],[GEREKLİ ADET]],0)</f>
        <v>0</v>
      </c>
      <c r="H532" s="9">
        <f>SK[[#This Row],[SONDAN KALAN FİRE]]</f>
        <v>0</v>
      </c>
    </row>
    <row r="533" spans="1:8" x14ac:dyDescent="0.3">
      <c r="A533" s="12">
        <f>SK[[#This Row],[TARİH]]</f>
        <v>0</v>
      </c>
      <c r="B533" s="9">
        <f>SK[[#This Row],[TÜR]]</f>
        <v>0</v>
      </c>
      <c r="C533" s="9">
        <f>SK[[#This Row],[MALZEME ]]</f>
        <v>0</v>
      </c>
      <c r="D533" s="9">
        <f>SK[[#This Row],[KALİTE]]</f>
        <v>0</v>
      </c>
      <c r="E533" s="11">
        <f>SK[[#This Row],[FİRE]]</f>
        <v>0</v>
      </c>
      <c r="F533" s="11">
        <f>SK[[#This Row],[EŞİT FİRE]]</f>
        <v>0</v>
      </c>
      <c r="G533" s="9">
        <f>IF(MOD(SK[[#This Row],[GEREKLİ ADET]],2)=0,SK[[#This Row],[GEREKLİ ADET]],0)</f>
        <v>0</v>
      </c>
      <c r="H533" s="9">
        <f>SK[[#This Row],[SONDAN KALAN FİRE]]</f>
        <v>0</v>
      </c>
    </row>
    <row r="534" spans="1:8" x14ac:dyDescent="0.3">
      <c r="A534" s="12">
        <f>SK[[#This Row],[TARİH]]</f>
        <v>0</v>
      </c>
      <c r="B534" s="9">
        <f>SK[[#This Row],[TÜR]]</f>
        <v>0</v>
      </c>
      <c r="C534" s="9">
        <f>SK[[#This Row],[MALZEME ]]</f>
        <v>0</v>
      </c>
      <c r="D534" s="9">
        <f>SK[[#This Row],[KALİTE]]</f>
        <v>0</v>
      </c>
      <c r="E534" s="11">
        <f>SK[[#This Row],[FİRE]]</f>
        <v>0</v>
      </c>
      <c r="F534" s="11">
        <f>SK[[#This Row],[EŞİT FİRE]]</f>
        <v>0</v>
      </c>
      <c r="G534" s="9">
        <f>IF(MOD(SK[[#This Row],[GEREKLİ ADET]],2)=0,SK[[#This Row],[GEREKLİ ADET]],0)</f>
        <v>0</v>
      </c>
      <c r="H534" s="9">
        <f>SK[[#This Row],[SONDAN KALAN FİRE]]</f>
        <v>0</v>
      </c>
    </row>
    <row r="535" spans="1:8" x14ac:dyDescent="0.3">
      <c r="A535" s="12">
        <f>SK[[#This Row],[TARİH]]</f>
        <v>0</v>
      </c>
      <c r="B535" s="9">
        <f>SK[[#This Row],[TÜR]]</f>
        <v>0</v>
      </c>
      <c r="C535" s="9">
        <f>SK[[#This Row],[MALZEME ]]</f>
        <v>0</v>
      </c>
      <c r="D535" s="9">
        <f>SK[[#This Row],[KALİTE]]</f>
        <v>0</v>
      </c>
      <c r="E535" s="11">
        <f>SK[[#This Row],[FİRE]]</f>
        <v>0</v>
      </c>
      <c r="F535" s="11">
        <f>SK[[#This Row],[EŞİT FİRE]]</f>
        <v>0</v>
      </c>
      <c r="G535" s="9">
        <f>IF(MOD(SK[[#This Row],[GEREKLİ ADET]],2)=0,SK[[#This Row],[GEREKLİ ADET]],0)</f>
        <v>0</v>
      </c>
      <c r="H535" s="9">
        <f>SK[[#This Row],[SONDAN KALAN FİRE]]</f>
        <v>0</v>
      </c>
    </row>
    <row r="536" spans="1:8" x14ac:dyDescent="0.3">
      <c r="A536" s="12">
        <f>SK[[#This Row],[TARİH]]</f>
        <v>0</v>
      </c>
      <c r="B536" s="9">
        <f>SK[[#This Row],[TÜR]]</f>
        <v>0</v>
      </c>
      <c r="C536" s="9">
        <f>SK[[#This Row],[MALZEME ]]</f>
        <v>0</v>
      </c>
      <c r="D536" s="9">
        <f>SK[[#This Row],[KALİTE]]</f>
        <v>0</v>
      </c>
      <c r="E536" s="11">
        <f>SK[[#This Row],[FİRE]]</f>
        <v>0</v>
      </c>
      <c r="F536" s="11">
        <f>SK[[#This Row],[EŞİT FİRE]]</f>
        <v>0</v>
      </c>
      <c r="G536" s="9">
        <f>IF(MOD(SK[[#This Row],[GEREKLİ ADET]],2)=0,SK[[#This Row],[GEREKLİ ADET]],0)</f>
        <v>0</v>
      </c>
      <c r="H536" s="9">
        <f>SK[[#This Row],[SONDAN KALAN FİRE]]</f>
        <v>0</v>
      </c>
    </row>
    <row r="537" spans="1:8" x14ac:dyDescent="0.3">
      <c r="A537" s="12">
        <f>SK[[#This Row],[TARİH]]</f>
        <v>0</v>
      </c>
      <c r="B537" s="9">
        <f>SK[[#This Row],[TÜR]]</f>
        <v>0</v>
      </c>
      <c r="C537" s="9">
        <f>SK[[#This Row],[MALZEME ]]</f>
        <v>0</v>
      </c>
      <c r="D537" s="9">
        <f>SK[[#This Row],[KALİTE]]</f>
        <v>0</v>
      </c>
      <c r="E537" s="11">
        <f>SK[[#This Row],[FİRE]]</f>
        <v>0</v>
      </c>
      <c r="F537" s="11">
        <f>SK[[#This Row],[EŞİT FİRE]]</f>
        <v>0</v>
      </c>
      <c r="G537" s="9">
        <f>IF(MOD(SK[[#This Row],[GEREKLİ ADET]],2)=0,SK[[#This Row],[GEREKLİ ADET]],0)</f>
        <v>0</v>
      </c>
      <c r="H537" s="9">
        <f>SK[[#This Row],[SONDAN KALAN FİRE]]</f>
        <v>0</v>
      </c>
    </row>
    <row r="538" spans="1:8" x14ac:dyDescent="0.3">
      <c r="A538" s="12">
        <f>SK[[#This Row],[TARİH]]</f>
        <v>0</v>
      </c>
      <c r="B538" s="9">
        <f>SK[[#This Row],[TÜR]]</f>
        <v>0</v>
      </c>
      <c r="C538" s="9">
        <f>SK[[#This Row],[MALZEME ]]</f>
        <v>0</v>
      </c>
      <c r="D538" s="9">
        <f>SK[[#This Row],[KALİTE]]</f>
        <v>0</v>
      </c>
      <c r="E538" s="11">
        <f>SK[[#This Row],[FİRE]]</f>
        <v>0</v>
      </c>
      <c r="F538" s="11">
        <f>SK[[#This Row],[EŞİT FİRE]]</f>
        <v>0</v>
      </c>
      <c r="G538" s="9">
        <f>IF(MOD(SK[[#This Row],[GEREKLİ ADET]],2)=0,SK[[#This Row],[GEREKLİ ADET]],0)</f>
        <v>0</v>
      </c>
      <c r="H538" s="9">
        <f>SK[[#This Row],[SONDAN KALAN FİRE]]</f>
        <v>0</v>
      </c>
    </row>
    <row r="539" spans="1:8" x14ac:dyDescent="0.3">
      <c r="A539" s="12">
        <f>SK[[#This Row],[TARİH]]</f>
        <v>0</v>
      </c>
      <c r="B539" s="9">
        <f>SK[[#This Row],[TÜR]]</f>
        <v>0</v>
      </c>
      <c r="C539" s="9">
        <f>SK[[#This Row],[MALZEME ]]</f>
        <v>0</v>
      </c>
      <c r="D539" s="9">
        <f>SK[[#This Row],[KALİTE]]</f>
        <v>0</v>
      </c>
      <c r="E539" s="11">
        <f>SK[[#This Row],[FİRE]]</f>
        <v>0</v>
      </c>
      <c r="F539" s="11">
        <f>SK[[#This Row],[EŞİT FİRE]]</f>
        <v>0</v>
      </c>
      <c r="G539" s="9">
        <f>IF(MOD(SK[[#This Row],[GEREKLİ ADET]],2)=0,SK[[#This Row],[GEREKLİ ADET]],0)</f>
        <v>0</v>
      </c>
      <c r="H539" s="9">
        <f>SK[[#This Row],[SONDAN KALAN FİRE]]</f>
        <v>0</v>
      </c>
    </row>
    <row r="540" spans="1:8" x14ac:dyDescent="0.3">
      <c r="A540" s="12">
        <f>SK[[#This Row],[TARİH]]</f>
        <v>0</v>
      </c>
      <c r="B540" s="9">
        <f>SK[[#This Row],[TÜR]]</f>
        <v>0</v>
      </c>
      <c r="C540" s="9">
        <f>SK[[#This Row],[MALZEME ]]</f>
        <v>0</v>
      </c>
      <c r="D540" s="9">
        <f>SK[[#This Row],[KALİTE]]</f>
        <v>0</v>
      </c>
      <c r="E540" s="11">
        <f>SK[[#This Row],[FİRE]]</f>
        <v>0</v>
      </c>
      <c r="F540" s="11">
        <f>SK[[#This Row],[EŞİT FİRE]]</f>
        <v>0</v>
      </c>
      <c r="G540" s="9">
        <f>IF(MOD(SK[[#This Row],[GEREKLİ ADET]],2)=0,SK[[#This Row],[GEREKLİ ADET]],0)</f>
        <v>0</v>
      </c>
      <c r="H540" s="9">
        <f>SK[[#This Row],[SONDAN KALAN FİRE]]</f>
        <v>0</v>
      </c>
    </row>
    <row r="541" spans="1:8" x14ac:dyDescent="0.3">
      <c r="A541" s="12">
        <f>SK[[#This Row],[TARİH]]</f>
        <v>0</v>
      </c>
      <c r="B541" s="9">
        <f>SK[[#This Row],[TÜR]]</f>
        <v>0</v>
      </c>
      <c r="C541" s="9">
        <f>SK[[#This Row],[MALZEME ]]</f>
        <v>0</v>
      </c>
      <c r="D541" s="9">
        <f>SK[[#This Row],[KALİTE]]</f>
        <v>0</v>
      </c>
      <c r="E541" s="11">
        <f>SK[[#This Row],[FİRE]]</f>
        <v>0</v>
      </c>
      <c r="F541" s="11">
        <f>SK[[#This Row],[EŞİT FİRE]]</f>
        <v>0</v>
      </c>
      <c r="G541" s="9">
        <f>IF(MOD(SK[[#This Row],[GEREKLİ ADET]],2)=0,SK[[#This Row],[GEREKLİ ADET]],0)</f>
        <v>0</v>
      </c>
      <c r="H541" s="9">
        <f>SK[[#This Row],[SONDAN KALAN FİRE]]</f>
        <v>0</v>
      </c>
    </row>
    <row r="542" spans="1:8" x14ac:dyDescent="0.3">
      <c r="A542" s="12">
        <f>SK[[#This Row],[TARİH]]</f>
        <v>0</v>
      </c>
      <c r="B542" s="9">
        <f>SK[[#This Row],[TÜR]]</f>
        <v>0</v>
      </c>
      <c r="C542" s="9">
        <f>SK[[#This Row],[MALZEME ]]</f>
        <v>0</v>
      </c>
      <c r="D542" s="9">
        <f>SK[[#This Row],[KALİTE]]</f>
        <v>0</v>
      </c>
      <c r="E542" s="11">
        <f>SK[[#This Row],[FİRE]]</f>
        <v>0</v>
      </c>
      <c r="F542" s="11">
        <f>SK[[#This Row],[EŞİT FİRE]]</f>
        <v>0</v>
      </c>
      <c r="G542" s="9">
        <f>IF(MOD(SK[[#This Row],[GEREKLİ ADET]],2)=0,SK[[#This Row],[GEREKLİ ADET]],0)</f>
        <v>0</v>
      </c>
      <c r="H542" s="9">
        <f>SK[[#This Row],[SONDAN KALAN FİRE]]</f>
        <v>0</v>
      </c>
    </row>
    <row r="543" spans="1:8" x14ac:dyDescent="0.3">
      <c r="A543" s="12">
        <f>SK[[#This Row],[TARİH]]</f>
        <v>0</v>
      </c>
      <c r="B543" s="9">
        <f>SK[[#This Row],[TÜR]]</f>
        <v>0</v>
      </c>
      <c r="C543" s="9">
        <f>SK[[#This Row],[MALZEME ]]</f>
        <v>0</v>
      </c>
      <c r="D543" s="9">
        <f>SK[[#This Row],[KALİTE]]</f>
        <v>0</v>
      </c>
      <c r="E543" s="11">
        <f>SK[[#This Row],[FİRE]]</f>
        <v>0</v>
      </c>
      <c r="F543" s="11">
        <f>SK[[#This Row],[EŞİT FİRE]]</f>
        <v>0</v>
      </c>
      <c r="G543" s="9">
        <f>IF(MOD(SK[[#This Row],[GEREKLİ ADET]],2)=0,SK[[#This Row],[GEREKLİ ADET]],0)</f>
        <v>0</v>
      </c>
      <c r="H543" s="9">
        <f>SK[[#This Row],[SONDAN KALAN FİRE]]</f>
        <v>0</v>
      </c>
    </row>
    <row r="544" spans="1:8" x14ac:dyDescent="0.3">
      <c r="A544" s="12">
        <f>SK[[#This Row],[TARİH]]</f>
        <v>0</v>
      </c>
      <c r="B544" s="9">
        <f>SK[[#This Row],[TÜR]]</f>
        <v>0</v>
      </c>
      <c r="C544" s="9">
        <f>SK[[#This Row],[MALZEME ]]</f>
        <v>0</v>
      </c>
      <c r="D544" s="9">
        <f>SK[[#This Row],[KALİTE]]</f>
        <v>0</v>
      </c>
      <c r="E544" s="11">
        <f>SK[[#This Row],[FİRE]]</f>
        <v>0</v>
      </c>
      <c r="F544" s="11">
        <f>SK[[#This Row],[EŞİT FİRE]]</f>
        <v>0</v>
      </c>
      <c r="G544" s="9">
        <f>IF(MOD(SK[[#This Row],[GEREKLİ ADET]],2)=0,SK[[#This Row],[GEREKLİ ADET]],0)</f>
        <v>0</v>
      </c>
      <c r="H544" s="9">
        <f>SK[[#This Row],[SONDAN KALAN FİRE]]</f>
        <v>0</v>
      </c>
    </row>
    <row r="545" spans="1:8" x14ac:dyDescent="0.3">
      <c r="A545" s="12">
        <f>SK[[#This Row],[TARİH]]</f>
        <v>0</v>
      </c>
      <c r="B545" s="9">
        <f>SK[[#This Row],[TÜR]]</f>
        <v>0</v>
      </c>
      <c r="C545" s="9">
        <f>SK[[#This Row],[MALZEME ]]</f>
        <v>0</v>
      </c>
      <c r="D545" s="9">
        <f>SK[[#This Row],[KALİTE]]</f>
        <v>0</v>
      </c>
      <c r="E545" s="11">
        <f>SK[[#This Row],[FİRE]]</f>
        <v>0</v>
      </c>
      <c r="F545" s="11">
        <f>SK[[#This Row],[EŞİT FİRE]]</f>
        <v>0</v>
      </c>
      <c r="G545" s="9">
        <f>IF(MOD(SK[[#This Row],[GEREKLİ ADET]],2)=0,SK[[#This Row],[GEREKLİ ADET]],0)</f>
        <v>0</v>
      </c>
      <c r="H545" s="9">
        <f>SK[[#This Row],[SONDAN KALAN FİRE]]</f>
        <v>0</v>
      </c>
    </row>
    <row r="546" spans="1:8" x14ac:dyDescent="0.3">
      <c r="A546" s="12">
        <f>SK[[#This Row],[TARİH]]</f>
        <v>0</v>
      </c>
      <c r="B546" s="9">
        <f>SK[[#This Row],[TÜR]]</f>
        <v>0</v>
      </c>
      <c r="C546" s="9">
        <f>SK[[#This Row],[MALZEME ]]</f>
        <v>0</v>
      </c>
      <c r="D546" s="9">
        <f>SK[[#This Row],[KALİTE]]</f>
        <v>0</v>
      </c>
      <c r="E546" s="11">
        <f>SK[[#This Row],[FİRE]]</f>
        <v>0</v>
      </c>
      <c r="F546" s="11">
        <f>SK[[#This Row],[EŞİT FİRE]]</f>
        <v>0</v>
      </c>
      <c r="G546" s="9">
        <f>IF(MOD(SK[[#This Row],[GEREKLİ ADET]],2)=0,SK[[#This Row],[GEREKLİ ADET]],0)</f>
        <v>0</v>
      </c>
      <c r="H546" s="9">
        <f>SK[[#This Row],[SONDAN KALAN FİRE]]</f>
        <v>0</v>
      </c>
    </row>
    <row r="547" spans="1:8" x14ac:dyDescent="0.3">
      <c r="A547" s="12">
        <f>SK[[#This Row],[TARİH]]</f>
        <v>0</v>
      </c>
      <c r="B547" s="9">
        <f>SK[[#This Row],[TÜR]]</f>
        <v>0</v>
      </c>
      <c r="C547" s="9">
        <f>SK[[#This Row],[MALZEME ]]</f>
        <v>0</v>
      </c>
      <c r="D547" s="9">
        <f>SK[[#This Row],[KALİTE]]</f>
        <v>0</v>
      </c>
      <c r="E547" s="11">
        <f>SK[[#This Row],[FİRE]]</f>
        <v>0</v>
      </c>
      <c r="F547" s="11">
        <f>SK[[#This Row],[EŞİT FİRE]]</f>
        <v>0</v>
      </c>
      <c r="G547" s="9">
        <f>IF(MOD(SK[[#This Row],[GEREKLİ ADET]],2)=0,SK[[#This Row],[GEREKLİ ADET]],0)</f>
        <v>0</v>
      </c>
      <c r="H547" s="9">
        <f>SK[[#This Row],[SONDAN KALAN FİRE]]</f>
        <v>0</v>
      </c>
    </row>
    <row r="548" spans="1:8" x14ac:dyDescent="0.3">
      <c r="A548" s="12">
        <f>SK[[#This Row],[TARİH]]</f>
        <v>0</v>
      </c>
      <c r="B548" s="9">
        <f>SK[[#This Row],[TÜR]]</f>
        <v>0</v>
      </c>
      <c r="C548" s="9">
        <f>SK[[#This Row],[MALZEME ]]</f>
        <v>0</v>
      </c>
      <c r="D548" s="9">
        <f>SK[[#This Row],[KALİTE]]</f>
        <v>0</v>
      </c>
      <c r="E548" s="11">
        <f>SK[[#This Row],[FİRE]]</f>
        <v>0</v>
      </c>
      <c r="F548" s="11">
        <f>SK[[#This Row],[EŞİT FİRE]]</f>
        <v>0</v>
      </c>
      <c r="G548" s="9">
        <f>IF(MOD(SK[[#This Row],[GEREKLİ ADET]],2)=0,SK[[#This Row],[GEREKLİ ADET]],0)</f>
        <v>0</v>
      </c>
      <c r="H548" s="9">
        <f>SK[[#This Row],[SONDAN KALAN FİRE]]</f>
        <v>0</v>
      </c>
    </row>
    <row r="549" spans="1:8" x14ac:dyDescent="0.3">
      <c r="A549" s="12">
        <f>SK[[#This Row],[TARİH]]</f>
        <v>0</v>
      </c>
      <c r="B549" s="9">
        <f>SK[[#This Row],[TÜR]]</f>
        <v>0</v>
      </c>
      <c r="C549" s="9">
        <f>SK[[#This Row],[MALZEME ]]</f>
        <v>0</v>
      </c>
      <c r="D549" s="9">
        <f>SK[[#This Row],[KALİTE]]</f>
        <v>0</v>
      </c>
      <c r="E549" s="11">
        <f>SK[[#This Row],[FİRE]]</f>
        <v>0</v>
      </c>
      <c r="F549" s="11">
        <f>SK[[#This Row],[EŞİT FİRE]]</f>
        <v>0</v>
      </c>
      <c r="G549" s="9">
        <f>IF(MOD(SK[[#This Row],[GEREKLİ ADET]],2)=0,SK[[#This Row],[GEREKLİ ADET]],0)</f>
        <v>0</v>
      </c>
      <c r="H549" s="9">
        <f>SK[[#This Row],[SONDAN KALAN FİRE]]</f>
        <v>0</v>
      </c>
    </row>
    <row r="550" spans="1:8" x14ac:dyDescent="0.3">
      <c r="A550" s="12">
        <f>SK[[#This Row],[TARİH]]</f>
        <v>0</v>
      </c>
      <c r="B550" s="9">
        <f>SK[[#This Row],[TÜR]]</f>
        <v>0</v>
      </c>
      <c r="C550" s="9">
        <f>SK[[#This Row],[MALZEME ]]</f>
        <v>0</v>
      </c>
      <c r="D550" s="9">
        <f>SK[[#This Row],[KALİTE]]</f>
        <v>0</v>
      </c>
      <c r="E550" s="11">
        <f>SK[[#This Row],[FİRE]]</f>
        <v>0</v>
      </c>
      <c r="F550" s="11">
        <f>SK[[#This Row],[EŞİT FİRE]]</f>
        <v>0</v>
      </c>
      <c r="G550" s="9">
        <f>IF(MOD(SK[[#This Row],[GEREKLİ ADET]],2)=0,SK[[#This Row],[GEREKLİ ADET]],0)</f>
        <v>0</v>
      </c>
      <c r="H550" s="9">
        <f>SK[[#This Row],[SONDAN KALAN FİRE]]</f>
        <v>0</v>
      </c>
    </row>
    <row r="551" spans="1:8" x14ac:dyDescent="0.3">
      <c r="A551" s="12">
        <f>SK[[#This Row],[TARİH]]</f>
        <v>0</v>
      </c>
      <c r="B551" s="9">
        <f>SK[[#This Row],[TÜR]]</f>
        <v>0</v>
      </c>
      <c r="C551" s="9">
        <f>SK[[#This Row],[MALZEME ]]</f>
        <v>0</v>
      </c>
      <c r="D551" s="9">
        <f>SK[[#This Row],[KALİTE]]</f>
        <v>0</v>
      </c>
      <c r="E551" s="11">
        <f>SK[[#This Row],[FİRE]]</f>
        <v>0</v>
      </c>
      <c r="F551" s="11">
        <f>SK[[#This Row],[EŞİT FİRE]]</f>
        <v>0</v>
      </c>
      <c r="G551" s="9">
        <f>IF(MOD(SK[[#This Row],[GEREKLİ ADET]],2)=0,SK[[#This Row],[GEREKLİ ADET]],0)</f>
        <v>0</v>
      </c>
      <c r="H551" s="9">
        <f>SK[[#This Row],[SONDAN KALAN FİRE]]</f>
        <v>0</v>
      </c>
    </row>
    <row r="552" spans="1:8" x14ac:dyDescent="0.3">
      <c r="A552" s="12">
        <f>SK[[#This Row],[TARİH]]</f>
        <v>0</v>
      </c>
      <c r="B552" s="9">
        <f>SK[[#This Row],[TÜR]]</f>
        <v>0</v>
      </c>
      <c r="C552" s="9">
        <f>SK[[#This Row],[MALZEME ]]</f>
        <v>0</v>
      </c>
      <c r="D552" s="9">
        <f>SK[[#This Row],[KALİTE]]</f>
        <v>0</v>
      </c>
      <c r="E552" s="11">
        <f>SK[[#This Row],[FİRE]]</f>
        <v>0</v>
      </c>
      <c r="F552" s="11">
        <f>SK[[#This Row],[EŞİT FİRE]]</f>
        <v>0</v>
      </c>
      <c r="G552" s="9">
        <f>IF(MOD(SK[[#This Row],[GEREKLİ ADET]],2)=0,SK[[#This Row],[GEREKLİ ADET]],0)</f>
        <v>0</v>
      </c>
      <c r="H552" s="9">
        <f>SK[[#This Row],[SONDAN KALAN FİRE]]</f>
        <v>0</v>
      </c>
    </row>
    <row r="553" spans="1:8" x14ac:dyDescent="0.3">
      <c r="A553" s="12">
        <f>SK[[#This Row],[TARİH]]</f>
        <v>0</v>
      </c>
      <c r="B553" s="9">
        <f>SK[[#This Row],[TÜR]]</f>
        <v>0</v>
      </c>
      <c r="C553" s="9">
        <f>SK[[#This Row],[MALZEME ]]</f>
        <v>0</v>
      </c>
      <c r="D553" s="9">
        <f>SK[[#This Row],[KALİTE]]</f>
        <v>0</v>
      </c>
      <c r="E553" s="11">
        <f>SK[[#This Row],[FİRE]]</f>
        <v>0</v>
      </c>
      <c r="F553" s="11">
        <f>SK[[#This Row],[EŞİT FİRE]]</f>
        <v>0</v>
      </c>
      <c r="G553" s="9">
        <f>IF(MOD(SK[[#This Row],[GEREKLİ ADET]],2)=0,SK[[#This Row],[GEREKLİ ADET]],0)</f>
        <v>0</v>
      </c>
      <c r="H553" s="9">
        <f>SK[[#This Row],[SONDAN KALAN FİRE]]</f>
        <v>0</v>
      </c>
    </row>
    <row r="554" spans="1:8" x14ac:dyDescent="0.3">
      <c r="A554" s="12">
        <f>SK[[#This Row],[TARİH]]</f>
        <v>0</v>
      </c>
      <c r="B554" s="9">
        <f>SK[[#This Row],[TÜR]]</f>
        <v>0</v>
      </c>
      <c r="C554" s="9">
        <f>SK[[#This Row],[MALZEME ]]</f>
        <v>0</v>
      </c>
      <c r="D554" s="9">
        <f>SK[[#This Row],[KALİTE]]</f>
        <v>0</v>
      </c>
      <c r="E554" s="11">
        <f>SK[[#This Row],[FİRE]]</f>
        <v>0</v>
      </c>
      <c r="F554" s="11">
        <f>SK[[#This Row],[EŞİT FİRE]]</f>
        <v>0</v>
      </c>
      <c r="G554" s="9">
        <f>IF(MOD(SK[[#This Row],[GEREKLİ ADET]],2)=0,SK[[#This Row],[GEREKLİ ADET]],0)</f>
        <v>0</v>
      </c>
      <c r="H554" s="9">
        <f>SK[[#This Row],[SONDAN KALAN FİRE]]</f>
        <v>0</v>
      </c>
    </row>
    <row r="555" spans="1:8" x14ac:dyDescent="0.3">
      <c r="A555" s="12">
        <f>SK[[#This Row],[TARİH]]</f>
        <v>0</v>
      </c>
      <c r="B555" s="9">
        <f>SK[[#This Row],[TÜR]]</f>
        <v>0</v>
      </c>
      <c r="C555" s="9">
        <f>SK[[#This Row],[MALZEME ]]</f>
        <v>0</v>
      </c>
      <c r="D555" s="9">
        <f>SK[[#This Row],[KALİTE]]</f>
        <v>0</v>
      </c>
      <c r="E555" s="11">
        <f>SK[[#This Row],[FİRE]]</f>
        <v>0</v>
      </c>
      <c r="F555" s="11">
        <f>SK[[#This Row],[EŞİT FİRE]]</f>
        <v>0</v>
      </c>
      <c r="G555" s="9">
        <f>IF(MOD(SK[[#This Row],[GEREKLİ ADET]],2)=0,SK[[#This Row],[GEREKLİ ADET]],0)</f>
        <v>0</v>
      </c>
      <c r="H555" s="9">
        <f>SK[[#This Row],[SONDAN KALAN FİRE]]</f>
        <v>0</v>
      </c>
    </row>
    <row r="556" spans="1:8" x14ac:dyDescent="0.3">
      <c r="A556" s="12">
        <f>SK[[#This Row],[TARİH]]</f>
        <v>0</v>
      </c>
      <c r="B556" s="9">
        <f>SK[[#This Row],[TÜR]]</f>
        <v>0</v>
      </c>
      <c r="C556" s="9">
        <f>SK[[#This Row],[MALZEME ]]</f>
        <v>0</v>
      </c>
      <c r="D556" s="9">
        <f>SK[[#This Row],[KALİTE]]</f>
        <v>0</v>
      </c>
      <c r="E556" s="11">
        <f>SK[[#This Row],[FİRE]]</f>
        <v>0</v>
      </c>
      <c r="F556" s="11">
        <f>SK[[#This Row],[EŞİT FİRE]]</f>
        <v>0</v>
      </c>
      <c r="G556" s="9">
        <f>IF(MOD(SK[[#This Row],[GEREKLİ ADET]],2)=0,SK[[#This Row],[GEREKLİ ADET]],0)</f>
        <v>0</v>
      </c>
      <c r="H556" s="9">
        <f>SK[[#This Row],[SONDAN KALAN FİRE]]</f>
        <v>0</v>
      </c>
    </row>
    <row r="557" spans="1:8" x14ac:dyDescent="0.3">
      <c r="A557" s="12">
        <f>SK[[#This Row],[TARİH]]</f>
        <v>0</v>
      </c>
      <c r="B557" s="9">
        <f>SK[[#This Row],[TÜR]]</f>
        <v>0</v>
      </c>
      <c r="C557" s="9">
        <f>SK[[#This Row],[MALZEME ]]</f>
        <v>0</v>
      </c>
      <c r="D557" s="9">
        <f>SK[[#This Row],[KALİTE]]</f>
        <v>0</v>
      </c>
      <c r="E557" s="11">
        <f>SK[[#This Row],[FİRE]]</f>
        <v>0</v>
      </c>
      <c r="F557" s="11">
        <f>SK[[#This Row],[EŞİT FİRE]]</f>
        <v>0</v>
      </c>
      <c r="G557" s="9">
        <f>IF(MOD(SK[[#This Row],[GEREKLİ ADET]],2)=0,SK[[#This Row],[GEREKLİ ADET]],0)</f>
        <v>0</v>
      </c>
      <c r="H557" s="9">
        <f>SK[[#This Row],[SONDAN KALAN FİRE]]</f>
        <v>0</v>
      </c>
    </row>
    <row r="558" spans="1:8" x14ac:dyDescent="0.3">
      <c r="A558" s="12">
        <f>SK[[#This Row],[TARİH]]</f>
        <v>0</v>
      </c>
      <c r="B558" s="9">
        <f>SK[[#This Row],[TÜR]]</f>
        <v>0</v>
      </c>
      <c r="C558" s="9">
        <f>SK[[#This Row],[MALZEME ]]</f>
        <v>0</v>
      </c>
      <c r="D558" s="9">
        <f>SK[[#This Row],[KALİTE]]</f>
        <v>0</v>
      </c>
      <c r="E558" s="11">
        <f>SK[[#This Row],[FİRE]]</f>
        <v>0</v>
      </c>
      <c r="F558" s="11">
        <f>SK[[#This Row],[EŞİT FİRE]]</f>
        <v>0</v>
      </c>
      <c r="G558" s="9">
        <f>IF(MOD(SK[[#This Row],[GEREKLİ ADET]],2)=0,SK[[#This Row],[GEREKLİ ADET]],0)</f>
        <v>0</v>
      </c>
      <c r="H558" s="9">
        <f>SK[[#This Row],[SONDAN KALAN FİRE]]</f>
        <v>0</v>
      </c>
    </row>
    <row r="559" spans="1:8" x14ac:dyDescent="0.3">
      <c r="A559" s="12">
        <f>SK[[#This Row],[TARİH]]</f>
        <v>0</v>
      </c>
      <c r="B559" s="9">
        <f>SK[[#This Row],[TÜR]]</f>
        <v>0</v>
      </c>
      <c r="C559" s="9">
        <f>SK[[#This Row],[MALZEME ]]</f>
        <v>0</v>
      </c>
      <c r="D559" s="9">
        <f>SK[[#This Row],[KALİTE]]</f>
        <v>0</v>
      </c>
      <c r="E559" s="11">
        <f>SK[[#This Row],[FİRE]]</f>
        <v>0</v>
      </c>
      <c r="F559" s="11">
        <f>SK[[#This Row],[EŞİT FİRE]]</f>
        <v>0</v>
      </c>
      <c r="G559" s="9">
        <f>IF(MOD(SK[[#This Row],[GEREKLİ ADET]],2)=0,SK[[#This Row],[GEREKLİ ADET]],0)</f>
        <v>0</v>
      </c>
      <c r="H559" s="9">
        <f>SK[[#This Row],[SONDAN KALAN FİRE]]</f>
        <v>0</v>
      </c>
    </row>
    <row r="560" spans="1:8" x14ac:dyDescent="0.3">
      <c r="A560" s="12">
        <f>SK[[#This Row],[TARİH]]</f>
        <v>0</v>
      </c>
      <c r="B560" s="9">
        <f>SK[[#This Row],[TÜR]]</f>
        <v>0</v>
      </c>
      <c r="C560" s="9">
        <f>SK[[#This Row],[MALZEME ]]</f>
        <v>0</v>
      </c>
      <c r="D560" s="9">
        <f>SK[[#This Row],[KALİTE]]</f>
        <v>0</v>
      </c>
      <c r="E560" s="11">
        <f>SK[[#This Row],[FİRE]]</f>
        <v>0</v>
      </c>
      <c r="F560" s="11">
        <f>SK[[#This Row],[EŞİT FİRE]]</f>
        <v>0</v>
      </c>
      <c r="G560" s="9">
        <f>IF(MOD(SK[[#This Row],[GEREKLİ ADET]],2)=0,SK[[#This Row],[GEREKLİ ADET]],0)</f>
        <v>0</v>
      </c>
      <c r="H560" s="9">
        <f>SK[[#This Row],[SONDAN KALAN FİRE]]</f>
        <v>0</v>
      </c>
    </row>
    <row r="561" spans="1:8" x14ac:dyDescent="0.3">
      <c r="A561" s="12">
        <f>SK[[#This Row],[TARİH]]</f>
        <v>0</v>
      </c>
      <c r="B561" s="9">
        <f>SK[[#This Row],[TÜR]]</f>
        <v>0</v>
      </c>
      <c r="C561" s="9">
        <f>SK[[#This Row],[MALZEME ]]</f>
        <v>0</v>
      </c>
      <c r="D561" s="9">
        <f>SK[[#This Row],[KALİTE]]</f>
        <v>0</v>
      </c>
      <c r="E561" s="11">
        <f>SK[[#This Row],[FİRE]]</f>
        <v>0</v>
      </c>
      <c r="F561" s="11">
        <f>SK[[#This Row],[EŞİT FİRE]]</f>
        <v>0</v>
      </c>
      <c r="G561" s="9">
        <f>IF(MOD(SK[[#This Row],[GEREKLİ ADET]],2)=0,SK[[#This Row],[GEREKLİ ADET]],0)</f>
        <v>0</v>
      </c>
      <c r="H561" s="9">
        <f>SK[[#This Row],[SONDAN KALAN FİRE]]</f>
        <v>0</v>
      </c>
    </row>
    <row r="562" spans="1:8" x14ac:dyDescent="0.3">
      <c r="A562" s="12">
        <f>SK[[#This Row],[TARİH]]</f>
        <v>0</v>
      </c>
      <c r="B562" s="9">
        <f>SK[[#This Row],[TÜR]]</f>
        <v>0</v>
      </c>
      <c r="C562" s="9">
        <f>SK[[#This Row],[MALZEME ]]</f>
        <v>0</v>
      </c>
      <c r="D562" s="9">
        <f>SK[[#This Row],[KALİTE]]</f>
        <v>0</v>
      </c>
      <c r="E562" s="11">
        <f>SK[[#This Row],[FİRE]]</f>
        <v>0</v>
      </c>
      <c r="F562" s="11">
        <f>SK[[#This Row],[EŞİT FİRE]]</f>
        <v>0</v>
      </c>
      <c r="G562" s="9">
        <f>IF(MOD(SK[[#This Row],[GEREKLİ ADET]],2)=0,SK[[#This Row],[GEREKLİ ADET]],0)</f>
        <v>0</v>
      </c>
      <c r="H562" s="9">
        <f>SK[[#This Row],[SONDAN KALAN FİRE]]</f>
        <v>0</v>
      </c>
    </row>
    <row r="563" spans="1:8" x14ac:dyDescent="0.3">
      <c r="A563" s="12">
        <f>SK[[#This Row],[TARİH]]</f>
        <v>0</v>
      </c>
      <c r="B563" s="9">
        <f>SK[[#This Row],[TÜR]]</f>
        <v>0</v>
      </c>
      <c r="C563" s="9">
        <f>SK[[#This Row],[MALZEME ]]</f>
        <v>0</v>
      </c>
      <c r="D563" s="9">
        <f>SK[[#This Row],[KALİTE]]</f>
        <v>0</v>
      </c>
      <c r="E563" s="11">
        <f>SK[[#This Row],[FİRE]]</f>
        <v>0</v>
      </c>
      <c r="F563" s="11">
        <f>SK[[#This Row],[EŞİT FİRE]]</f>
        <v>0</v>
      </c>
      <c r="G563" s="9">
        <f>IF(MOD(SK[[#This Row],[GEREKLİ ADET]],2)=0,SK[[#This Row],[GEREKLİ ADET]],0)</f>
        <v>0</v>
      </c>
      <c r="H563" s="9">
        <f>SK[[#This Row],[SONDAN KALAN FİRE]]</f>
        <v>0</v>
      </c>
    </row>
    <row r="564" spans="1:8" x14ac:dyDescent="0.3">
      <c r="A564" s="12">
        <f>SK[[#This Row],[TARİH]]</f>
        <v>0</v>
      </c>
      <c r="B564" s="9">
        <f>SK[[#This Row],[TÜR]]</f>
        <v>0</v>
      </c>
      <c r="C564" s="9">
        <f>SK[[#This Row],[MALZEME ]]</f>
        <v>0</v>
      </c>
      <c r="D564" s="9">
        <f>SK[[#This Row],[KALİTE]]</f>
        <v>0</v>
      </c>
      <c r="E564" s="11">
        <f>SK[[#This Row],[FİRE]]</f>
        <v>0</v>
      </c>
      <c r="F564" s="11">
        <f>SK[[#This Row],[EŞİT FİRE]]</f>
        <v>0</v>
      </c>
      <c r="G564" s="9">
        <f>IF(MOD(SK[[#This Row],[GEREKLİ ADET]],2)=0,SK[[#This Row],[GEREKLİ ADET]],0)</f>
        <v>0</v>
      </c>
      <c r="H564" s="9">
        <f>SK[[#This Row],[SONDAN KALAN FİRE]]</f>
        <v>0</v>
      </c>
    </row>
    <row r="565" spans="1:8" x14ac:dyDescent="0.3">
      <c r="A565" s="12">
        <f>SK[[#This Row],[TARİH]]</f>
        <v>0</v>
      </c>
      <c r="B565" s="9">
        <f>SK[[#This Row],[TÜR]]</f>
        <v>0</v>
      </c>
      <c r="C565" s="9">
        <f>SK[[#This Row],[MALZEME ]]</f>
        <v>0</v>
      </c>
      <c r="D565" s="9">
        <f>SK[[#This Row],[KALİTE]]</f>
        <v>0</v>
      </c>
      <c r="E565" s="11">
        <f>SK[[#This Row],[FİRE]]</f>
        <v>0</v>
      </c>
      <c r="F565" s="11">
        <f>SK[[#This Row],[EŞİT FİRE]]</f>
        <v>0</v>
      </c>
      <c r="G565" s="9">
        <f>IF(MOD(SK[[#This Row],[GEREKLİ ADET]],2)=0,SK[[#This Row],[GEREKLİ ADET]],0)</f>
        <v>0</v>
      </c>
      <c r="H565" s="9">
        <f>SK[[#This Row],[SONDAN KALAN FİRE]]</f>
        <v>0</v>
      </c>
    </row>
    <row r="566" spans="1:8" x14ac:dyDescent="0.3">
      <c r="A566" s="12">
        <f>SK[[#This Row],[TARİH]]</f>
        <v>0</v>
      </c>
      <c r="B566" s="9">
        <f>SK[[#This Row],[TÜR]]</f>
        <v>0</v>
      </c>
      <c r="C566" s="9">
        <f>SK[[#This Row],[MALZEME ]]</f>
        <v>0</v>
      </c>
      <c r="D566" s="9">
        <f>SK[[#This Row],[KALİTE]]</f>
        <v>0</v>
      </c>
      <c r="E566" s="11">
        <f>SK[[#This Row],[FİRE]]</f>
        <v>0</v>
      </c>
      <c r="F566" s="11">
        <f>SK[[#This Row],[EŞİT FİRE]]</f>
        <v>0</v>
      </c>
      <c r="G566" s="9">
        <f>IF(MOD(SK[[#This Row],[GEREKLİ ADET]],2)=0,SK[[#This Row],[GEREKLİ ADET]],0)</f>
        <v>0</v>
      </c>
      <c r="H566" s="9">
        <f>SK[[#This Row],[SONDAN KALAN FİRE]]</f>
        <v>0</v>
      </c>
    </row>
    <row r="567" spans="1:8" x14ac:dyDescent="0.3">
      <c r="A567" s="12">
        <f>SK[[#This Row],[TARİH]]</f>
        <v>0</v>
      </c>
      <c r="B567" s="9">
        <f>SK[[#This Row],[TÜR]]</f>
        <v>0</v>
      </c>
      <c r="C567" s="9">
        <f>SK[[#This Row],[MALZEME ]]</f>
        <v>0</v>
      </c>
      <c r="D567" s="9">
        <f>SK[[#This Row],[KALİTE]]</f>
        <v>0</v>
      </c>
      <c r="E567" s="11">
        <f>SK[[#This Row],[FİRE]]</f>
        <v>0</v>
      </c>
      <c r="F567" s="11">
        <f>SK[[#This Row],[EŞİT FİRE]]</f>
        <v>0</v>
      </c>
      <c r="G567" s="9">
        <f>IF(MOD(SK[[#This Row],[GEREKLİ ADET]],2)=0,SK[[#This Row],[GEREKLİ ADET]],0)</f>
        <v>0</v>
      </c>
      <c r="H567" s="9">
        <f>SK[[#This Row],[SONDAN KALAN FİRE]]</f>
        <v>0</v>
      </c>
    </row>
    <row r="568" spans="1:8" x14ac:dyDescent="0.3">
      <c r="A568" s="12">
        <f>SK[[#This Row],[TARİH]]</f>
        <v>0</v>
      </c>
      <c r="B568" s="9">
        <f>SK[[#This Row],[TÜR]]</f>
        <v>0</v>
      </c>
      <c r="C568" s="9">
        <f>SK[[#This Row],[MALZEME ]]</f>
        <v>0</v>
      </c>
      <c r="D568" s="9">
        <f>SK[[#This Row],[KALİTE]]</f>
        <v>0</v>
      </c>
      <c r="E568" s="11">
        <f>SK[[#This Row],[FİRE]]</f>
        <v>0</v>
      </c>
      <c r="F568" s="11">
        <f>SK[[#This Row],[EŞİT FİRE]]</f>
        <v>0</v>
      </c>
      <c r="G568" s="9">
        <f>IF(MOD(SK[[#This Row],[GEREKLİ ADET]],2)=0,SK[[#This Row],[GEREKLİ ADET]],0)</f>
        <v>0</v>
      </c>
      <c r="H568" s="9">
        <f>SK[[#This Row],[SONDAN KALAN FİRE]]</f>
        <v>0</v>
      </c>
    </row>
    <row r="569" spans="1:8" x14ac:dyDescent="0.3">
      <c r="A569" s="12">
        <f>SK[[#This Row],[TARİH]]</f>
        <v>0</v>
      </c>
      <c r="B569" s="9">
        <f>SK[[#This Row],[TÜR]]</f>
        <v>0</v>
      </c>
      <c r="C569" s="9">
        <f>SK[[#This Row],[MALZEME ]]</f>
        <v>0</v>
      </c>
      <c r="D569" s="9">
        <f>SK[[#This Row],[KALİTE]]</f>
        <v>0</v>
      </c>
      <c r="E569" s="11">
        <f>SK[[#This Row],[FİRE]]</f>
        <v>0</v>
      </c>
      <c r="F569" s="11">
        <f>SK[[#This Row],[EŞİT FİRE]]</f>
        <v>0</v>
      </c>
      <c r="G569" s="9">
        <f>IF(MOD(SK[[#This Row],[GEREKLİ ADET]],2)=0,SK[[#This Row],[GEREKLİ ADET]],0)</f>
        <v>0</v>
      </c>
      <c r="H569" s="9">
        <f>SK[[#This Row],[SONDAN KALAN FİRE]]</f>
        <v>0</v>
      </c>
    </row>
    <row r="570" spans="1:8" x14ac:dyDescent="0.3">
      <c r="A570" s="12">
        <f>SK[[#This Row],[TARİH]]</f>
        <v>0</v>
      </c>
      <c r="B570" s="9">
        <f>SK[[#This Row],[TÜR]]</f>
        <v>0</v>
      </c>
      <c r="C570" s="9">
        <f>SK[[#This Row],[MALZEME ]]</f>
        <v>0</v>
      </c>
      <c r="D570" s="9">
        <f>SK[[#This Row],[KALİTE]]</f>
        <v>0</v>
      </c>
      <c r="E570" s="11">
        <f>SK[[#This Row],[FİRE]]</f>
        <v>0</v>
      </c>
      <c r="F570" s="11">
        <f>SK[[#This Row],[EŞİT FİRE]]</f>
        <v>0</v>
      </c>
      <c r="G570" s="9">
        <f>IF(MOD(SK[[#This Row],[GEREKLİ ADET]],2)=0,SK[[#This Row],[GEREKLİ ADET]],0)</f>
        <v>0</v>
      </c>
      <c r="H570" s="9">
        <f>SK[[#This Row],[SONDAN KALAN FİRE]]</f>
        <v>0</v>
      </c>
    </row>
    <row r="571" spans="1:8" x14ac:dyDescent="0.3">
      <c r="A571" s="12">
        <f>SK[[#This Row],[TARİH]]</f>
        <v>0</v>
      </c>
      <c r="B571" s="9">
        <f>SK[[#This Row],[TÜR]]</f>
        <v>0</v>
      </c>
      <c r="C571" s="9">
        <f>SK[[#This Row],[MALZEME ]]</f>
        <v>0</v>
      </c>
      <c r="D571" s="9">
        <f>SK[[#This Row],[KALİTE]]</f>
        <v>0</v>
      </c>
      <c r="E571" s="11">
        <f>SK[[#This Row],[FİRE]]</f>
        <v>0</v>
      </c>
      <c r="F571" s="11">
        <f>SK[[#This Row],[EŞİT FİRE]]</f>
        <v>0</v>
      </c>
      <c r="G571" s="9">
        <f>IF(MOD(SK[[#This Row],[GEREKLİ ADET]],2)=0,SK[[#This Row],[GEREKLİ ADET]],0)</f>
        <v>0</v>
      </c>
      <c r="H571" s="9">
        <f>SK[[#This Row],[SONDAN KALAN FİRE]]</f>
        <v>0</v>
      </c>
    </row>
    <row r="572" spans="1:8" x14ac:dyDescent="0.3">
      <c r="A572" s="12">
        <f>SK[[#This Row],[TARİH]]</f>
        <v>0</v>
      </c>
      <c r="B572" s="9">
        <f>SK[[#This Row],[TÜR]]</f>
        <v>0</v>
      </c>
      <c r="C572" s="9">
        <f>SK[[#This Row],[MALZEME ]]</f>
        <v>0</v>
      </c>
      <c r="D572" s="9">
        <f>SK[[#This Row],[KALİTE]]</f>
        <v>0</v>
      </c>
      <c r="E572" s="11">
        <f>SK[[#This Row],[FİRE]]</f>
        <v>0</v>
      </c>
      <c r="F572" s="11">
        <f>SK[[#This Row],[EŞİT FİRE]]</f>
        <v>0</v>
      </c>
      <c r="G572" s="9">
        <f>IF(MOD(SK[[#This Row],[GEREKLİ ADET]],2)=0,SK[[#This Row],[GEREKLİ ADET]],0)</f>
        <v>0</v>
      </c>
      <c r="H572" s="9">
        <f>SK[[#This Row],[SONDAN KALAN FİRE]]</f>
        <v>0</v>
      </c>
    </row>
    <row r="573" spans="1:8" x14ac:dyDescent="0.3">
      <c r="A573" s="12">
        <f>SK[[#This Row],[TARİH]]</f>
        <v>0</v>
      </c>
      <c r="B573" s="9">
        <f>SK[[#This Row],[TÜR]]</f>
        <v>0</v>
      </c>
      <c r="C573" s="9">
        <f>SK[[#This Row],[MALZEME ]]</f>
        <v>0</v>
      </c>
      <c r="D573" s="9">
        <f>SK[[#This Row],[KALİTE]]</f>
        <v>0</v>
      </c>
      <c r="E573" s="11">
        <f>SK[[#This Row],[FİRE]]</f>
        <v>0</v>
      </c>
      <c r="F573" s="11">
        <f>SK[[#This Row],[EŞİT FİRE]]</f>
        <v>0</v>
      </c>
      <c r="G573" s="9">
        <f>IF(MOD(SK[[#This Row],[GEREKLİ ADET]],2)=0,SK[[#This Row],[GEREKLİ ADET]],0)</f>
        <v>0</v>
      </c>
      <c r="H573" s="9">
        <f>SK[[#This Row],[SONDAN KALAN FİRE]]</f>
        <v>0</v>
      </c>
    </row>
    <row r="574" spans="1:8" x14ac:dyDescent="0.3">
      <c r="A574" s="12">
        <f>SK[[#This Row],[TARİH]]</f>
        <v>0</v>
      </c>
      <c r="B574" s="9">
        <f>SK[[#This Row],[TÜR]]</f>
        <v>0</v>
      </c>
      <c r="C574" s="9">
        <f>SK[[#This Row],[MALZEME ]]</f>
        <v>0</v>
      </c>
      <c r="D574" s="9">
        <f>SK[[#This Row],[KALİTE]]</f>
        <v>0</v>
      </c>
      <c r="E574" s="11">
        <f>SK[[#This Row],[FİRE]]</f>
        <v>0</v>
      </c>
      <c r="F574" s="11">
        <f>SK[[#This Row],[EŞİT FİRE]]</f>
        <v>0</v>
      </c>
      <c r="G574" s="9">
        <f>IF(MOD(SK[[#This Row],[GEREKLİ ADET]],2)=0,SK[[#This Row],[GEREKLİ ADET]],0)</f>
        <v>0</v>
      </c>
      <c r="H574" s="9">
        <f>SK[[#This Row],[SONDAN KALAN FİRE]]</f>
        <v>0</v>
      </c>
    </row>
    <row r="575" spans="1:8" x14ac:dyDescent="0.3">
      <c r="A575" s="12">
        <f>SK[[#This Row],[TARİH]]</f>
        <v>0</v>
      </c>
      <c r="B575" s="9">
        <f>SK[[#This Row],[TÜR]]</f>
        <v>0</v>
      </c>
      <c r="C575" s="9">
        <f>SK[[#This Row],[MALZEME ]]</f>
        <v>0</v>
      </c>
      <c r="D575" s="9">
        <f>SK[[#This Row],[KALİTE]]</f>
        <v>0</v>
      </c>
      <c r="E575" s="11">
        <f>SK[[#This Row],[FİRE]]</f>
        <v>0</v>
      </c>
      <c r="F575" s="11">
        <f>SK[[#This Row],[EŞİT FİRE]]</f>
        <v>0</v>
      </c>
      <c r="G575" s="9">
        <f>IF(MOD(SK[[#This Row],[GEREKLİ ADET]],2)=0,SK[[#This Row],[GEREKLİ ADET]],0)</f>
        <v>0</v>
      </c>
      <c r="H575" s="9">
        <f>SK[[#This Row],[SONDAN KALAN FİRE]]</f>
        <v>0</v>
      </c>
    </row>
    <row r="576" spans="1:8" x14ac:dyDescent="0.3">
      <c r="A576" s="12">
        <f>SK[[#This Row],[TARİH]]</f>
        <v>0</v>
      </c>
      <c r="B576" s="9">
        <f>SK[[#This Row],[TÜR]]</f>
        <v>0</v>
      </c>
      <c r="C576" s="9">
        <f>SK[[#This Row],[MALZEME ]]</f>
        <v>0</v>
      </c>
      <c r="D576" s="9">
        <f>SK[[#This Row],[KALİTE]]</f>
        <v>0</v>
      </c>
      <c r="E576" s="11">
        <f>SK[[#This Row],[FİRE]]</f>
        <v>0</v>
      </c>
      <c r="F576" s="11">
        <f>SK[[#This Row],[EŞİT FİRE]]</f>
        <v>0</v>
      </c>
      <c r="G576" s="9">
        <f>IF(MOD(SK[[#This Row],[GEREKLİ ADET]],2)=0,SK[[#This Row],[GEREKLİ ADET]],0)</f>
        <v>0</v>
      </c>
      <c r="H576" s="9">
        <f>SK[[#This Row],[SONDAN KALAN FİRE]]</f>
        <v>0</v>
      </c>
    </row>
    <row r="577" spans="1:8" x14ac:dyDescent="0.3">
      <c r="A577" s="12">
        <f>SK[[#This Row],[TARİH]]</f>
        <v>0</v>
      </c>
      <c r="B577" s="9">
        <f>SK[[#This Row],[TÜR]]</f>
        <v>0</v>
      </c>
      <c r="C577" s="9">
        <f>SK[[#This Row],[MALZEME ]]</f>
        <v>0</v>
      </c>
      <c r="D577" s="9">
        <f>SK[[#This Row],[KALİTE]]</f>
        <v>0</v>
      </c>
      <c r="E577" s="11">
        <f>SK[[#This Row],[FİRE]]</f>
        <v>0</v>
      </c>
      <c r="F577" s="11">
        <f>SK[[#This Row],[EŞİT FİRE]]</f>
        <v>0</v>
      </c>
      <c r="G577" s="9">
        <f>IF(MOD(SK[[#This Row],[GEREKLİ ADET]],2)=0,SK[[#This Row],[GEREKLİ ADET]],0)</f>
        <v>0</v>
      </c>
      <c r="H577" s="9">
        <f>SK[[#This Row],[SONDAN KALAN FİRE]]</f>
        <v>0</v>
      </c>
    </row>
    <row r="578" spans="1:8" x14ac:dyDescent="0.3">
      <c r="A578" s="12">
        <f>SK[[#This Row],[TARİH]]</f>
        <v>0</v>
      </c>
      <c r="B578" s="9">
        <f>SK[[#This Row],[TÜR]]</f>
        <v>0</v>
      </c>
      <c r="C578" s="9">
        <f>SK[[#This Row],[MALZEME ]]</f>
        <v>0</v>
      </c>
      <c r="D578" s="9">
        <f>SK[[#This Row],[KALİTE]]</f>
        <v>0</v>
      </c>
      <c r="E578" s="11">
        <f>SK[[#This Row],[FİRE]]</f>
        <v>0</v>
      </c>
      <c r="F578" s="11">
        <f>SK[[#This Row],[EŞİT FİRE]]</f>
        <v>0</v>
      </c>
      <c r="G578" s="9">
        <f>IF(MOD(SK[[#This Row],[GEREKLİ ADET]],2)=0,SK[[#This Row],[GEREKLİ ADET]],0)</f>
        <v>0</v>
      </c>
      <c r="H578" s="9">
        <f>SK[[#This Row],[SONDAN KALAN FİRE]]</f>
        <v>0</v>
      </c>
    </row>
    <row r="579" spans="1:8" x14ac:dyDescent="0.3">
      <c r="A579" s="12">
        <f>SK[[#This Row],[TARİH]]</f>
        <v>0</v>
      </c>
      <c r="B579" s="9">
        <f>SK[[#This Row],[TÜR]]</f>
        <v>0</v>
      </c>
      <c r="C579" s="9">
        <f>SK[[#This Row],[MALZEME ]]</f>
        <v>0</v>
      </c>
      <c r="D579" s="9">
        <f>SK[[#This Row],[KALİTE]]</f>
        <v>0</v>
      </c>
      <c r="E579" s="11">
        <f>SK[[#This Row],[FİRE]]</f>
        <v>0</v>
      </c>
      <c r="F579" s="11">
        <f>SK[[#This Row],[EŞİT FİRE]]</f>
        <v>0</v>
      </c>
      <c r="G579" s="9">
        <f>IF(MOD(SK[[#This Row],[GEREKLİ ADET]],2)=0,SK[[#This Row],[GEREKLİ ADET]],0)</f>
        <v>0</v>
      </c>
      <c r="H579" s="9">
        <f>SK[[#This Row],[SONDAN KALAN FİRE]]</f>
        <v>0</v>
      </c>
    </row>
    <row r="580" spans="1:8" x14ac:dyDescent="0.3">
      <c r="A580" s="12">
        <f>SK[[#This Row],[TARİH]]</f>
        <v>0</v>
      </c>
      <c r="B580" s="9">
        <f>SK[[#This Row],[TÜR]]</f>
        <v>0</v>
      </c>
      <c r="C580" s="9">
        <f>SK[[#This Row],[MALZEME ]]</f>
        <v>0</v>
      </c>
      <c r="D580" s="9">
        <f>SK[[#This Row],[KALİTE]]</f>
        <v>0</v>
      </c>
      <c r="E580" s="11">
        <f>SK[[#This Row],[FİRE]]</f>
        <v>0</v>
      </c>
      <c r="F580" s="11">
        <f>SK[[#This Row],[EŞİT FİRE]]</f>
        <v>0</v>
      </c>
      <c r="G580" s="9">
        <f>IF(MOD(SK[[#This Row],[GEREKLİ ADET]],2)=0,SK[[#This Row],[GEREKLİ ADET]],0)</f>
        <v>0</v>
      </c>
      <c r="H580" s="9">
        <f>SK[[#This Row],[SONDAN KALAN FİRE]]</f>
        <v>0</v>
      </c>
    </row>
    <row r="581" spans="1:8" x14ac:dyDescent="0.3">
      <c r="A581" s="12">
        <f>SK[[#This Row],[TARİH]]</f>
        <v>0</v>
      </c>
      <c r="B581" s="9">
        <f>SK[[#This Row],[TÜR]]</f>
        <v>0</v>
      </c>
      <c r="C581" s="9">
        <f>SK[[#This Row],[MALZEME ]]</f>
        <v>0</v>
      </c>
      <c r="D581" s="9">
        <f>SK[[#This Row],[KALİTE]]</f>
        <v>0</v>
      </c>
      <c r="E581" s="11">
        <f>SK[[#This Row],[FİRE]]</f>
        <v>0</v>
      </c>
      <c r="F581" s="11">
        <f>SK[[#This Row],[EŞİT FİRE]]</f>
        <v>0</v>
      </c>
      <c r="G581" s="9">
        <f>IF(MOD(SK[[#This Row],[GEREKLİ ADET]],2)=0,SK[[#This Row],[GEREKLİ ADET]],0)</f>
        <v>0</v>
      </c>
      <c r="H581" s="9">
        <f>SK[[#This Row],[SONDAN KALAN FİRE]]</f>
        <v>0</v>
      </c>
    </row>
    <row r="582" spans="1:8" x14ac:dyDescent="0.3">
      <c r="A582" s="12">
        <f>SK[[#This Row],[TARİH]]</f>
        <v>0</v>
      </c>
      <c r="B582" s="9">
        <f>SK[[#This Row],[TÜR]]</f>
        <v>0</v>
      </c>
      <c r="C582" s="9">
        <f>SK[[#This Row],[MALZEME ]]</f>
        <v>0</v>
      </c>
      <c r="D582" s="9">
        <f>SK[[#This Row],[KALİTE]]</f>
        <v>0</v>
      </c>
      <c r="E582" s="11">
        <f>SK[[#This Row],[FİRE]]</f>
        <v>0</v>
      </c>
      <c r="F582" s="11">
        <f>SK[[#This Row],[EŞİT FİRE]]</f>
        <v>0</v>
      </c>
      <c r="G582" s="9">
        <f>IF(MOD(SK[[#This Row],[GEREKLİ ADET]],2)=0,SK[[#This Row],[GEREKLİ ADET]],0)</f>
        <v>0</v>
      </c>
      <c r="H582" s="9">
        <f>SK[[#This Row],[SONDAN KALAN FİRE]]</f>
        <v>0</v>
      </c>
    </row>
    <row r="583" spans="1:8" x14ac:dyDescent="0.3">
      <c r="A583" s="12">
        <f>SK[[#This Row],[TARİH]]</f>
        <v>0</v>
      </c>
      <c r="B583" s="9">
        <f>SK[[#This Row],[TÜR]]</f>
        <v>0</v>
      </c>
      <c r="C583" s="9">
        <f>SK[[#This Row],[MALZEME ]]</f>
        <v>0</v>
      </c>
      <c r="D583" s="9">
        <f>SK[[#This Row],[KALİTE]]</f>
        <v>0</v>
      </c>
      <c r="E583" s="11">
        <f>SK[[#This Row],[FİRE]]</f>
        <v>0</v>
      </c>
      <c r="F583" s="11">
        <f>SK[[#This Row],[EŞİT FİRE]]</f>
        <v>0</v>
      </c>
      <c r="G583" s="9">
        <f>IF(MOD(SK[[#This Row],[GEREKLİ ADET]],2)=0,SK[[#This Row],[GEREKLİ ADET]],0)</f>
        <v>0</v>
      </c>
      <c r="H583" s="9">
        <f>SK[[#This Row],[SONDAN KALAN FİRE]]</f>
        <v>0</v>
      </c>
    </row>
    <row r="584" spans="1:8" x14ac:dyDescent="0.3">
      <c r="A584" s="12">
        <f>SK[[#This Row],[TARİH]]</f>
        <v>0</v>
      </c>
      <c r="B584" s="9">
        <f>SK[[#This Row],[TÜR]]</f>
        <v>0</v>
      </c>
      <c r="C584" s="9">
        <f>SK[[#This Row],[MALZEME ]]</f>
        <v>0</v>
      </c>
      <c r="D584" s="9">
        <f>SK[[#This Row],[KALİTE]]</f>
        <v>0</v>
      </c>
      <c r="E584" s="11">
        <f>SK[[#This Row],[FİRE]]</f>
        <v>0</v>
      </c>
      <c r="F584" s="11">
        <f>SK[[#This Row],[EŞİT FİRE]]</f>
        <v>0</v>
      </c>
      <c r="G584" s="9">
        <f>IF(MOD(SK[[#This Row],[GEREKLİ ADET]],2)=0,SK[[#This Row],[GEREKLİ ADET]],0)</f>
        <v>0</v>
      </c>
      <c r="H584" s="9">
        <f>SK[[#This Row],[SONDAN KALAN FİRE]]</f>
        <v>0</v>
      </c>
    </row>
    <row r="585" spans="1:8" x14ac:dyDescent="0.3">
      <c r="A585" s="12">
        <f>SK[[#This Row],[TARİH]]</f>
        <v>0</v>
      </c>
      <c r="B585" s="9">
        <f>SK[[#This Row],[TÜR]]</f>
        <v>0</v>
      </c>
      <c r="C585" s="9">
        <f>SK[[#This Row],[MALZEME ]]</f>
        <v>0</v>
      </c>
      <c r="D585" s="9">
        <f>SK[[#This Row],[KALİTE]]</f>
        <v>0</v>
      </c>
      <c r="E585" s="11">
        <f>SK[[#This Row],[FİRE]]</f>
        <v>0</v>
      </c>
      <c r="F585" s="11">
        <f>SK[[#This Row],[EŞİT FİRE]]</f>
        <v>0</v>
      </c>
      <c r="G585" s="9">
        <f>IF(MOD(SK[[#This Row],[GEREKLİ ADET]],2)=0,SK[[#This Row],[GEREKLİ ADET]],0)</f>
        <v>0</v>
      </c>
      <c r="H585" s="9">
        <f>SK[[#This Row],[SONDAN KALAN FİRE]]</f>
        <v>0</v>
      </c>
    </row>
    <row r="586" spans="1:8" x14ac:dyDescent="0.3">
      <c r="A586" s="12">
        <f>SK[[#This Row],[TARİH]]</f>
        <v>0</v>
      </c>
      <c r="B586" s="9">
        <f>SK[[#This Row],[TÜR]]</f>
        <v>0</v>
      </c>
      <c r="C586" s="9">
        <f>SK[[#This Row],[MALZEME ]]</f>
        <v>0</v>
      </c>
      <c r="D586" s="9">
        <f>SK[[#This Row],[KALİTE]]</f>
        <v>0</v>
      </c>
      <c r="E586" s="11">
        <f>SK[[#This Row],[FİRE]]</f>
        <v>0</v>
      </c>
      <c r="F586" s="11">
        <f>SK[[#This Row],[EŞİT FİRE]]</f>
        <v>0</v>
      </c>
      <c r="G586" s="9">
        <f>IF(MOD(SK[[#This Row],[GEREKLİ ADET]],2)=0,SK[[#This Row],[GEREKLİ ADET]],0)</f>
        <v>0</v>
      </c>
      <c r="H586" s="9">
        <f>SK[[#This Row],[SONDAN KALAN FİRE]]</f>
        <v>0</v>
      </c>
    </row>
    <row r="587" spans="1:8" x14ac:dyDescent="0.3">
      <c r="A587" s="12">
        <f>SK[[#This Row],[TARİH]]</f>
        <v>0</v>
      </c>
      <c r="B587" s="9">
        <f>SK[[#This Row],[TÜR]]</f>
        <v>0</v>
      </c>
      <c r="C587" s="9">
        <f>SK[[#This Row],[MALZEME ]]</f>
        <v>0</v>
      </c>
      <c r="D587" s="9">
        <f>SK[[#This Row],[KALİTE]]</f>
        <v>0</v>
      </c>
      <c r="E587" s="11">
        <f>SK[[#This Row],[FİRE]]</f>
        <v>0</v>
      </c>
      <c r="F587" s="11">
        <f>SK[[#This Row],[EŞİT FİRE]]</f>
        <v>0</v>
      </c>
      <c r="G587" s="9">
        <f>IF(MOD(SK[[#This Row],[GEREKLİ ADET]],2)=0,SK[[#This Row],[GEREKLİ ADET]],0)</f>
        <v>0</v>
      </c>
      <c r="H587" s="9">
        <f>SK[[#This Row],[SONDAN KALAN FİRE]]</f>
        <v>0</v>
      </c>
    </row>
    <row r="588" spans="1:8" x14ac:dyDescent="0.3">
      <c r="A588" s="12">
        <f>SK[[#This Row],[TARİH]]</f>
        <v>0</v>
      </c>
      <c r="B588" s="9">
        <f>SK[[#This Row],[TÜR]]</f>
        <v>0</v>
      </c>
      <c r="C588" s="9">
        <f>SK[[#This Row],[MALZEME ]]</f>
        <v>0</v>
      </c>
      <c r="D588" s="9">
        <f>SK[[#This Row],[KALİTE]]</f>
        <v>0</v>
      </c>
      <c r="E588" s="11">
        <f>SK[[#This Row],[FİRE]]</f>
        <v>0</v>
      </c>
      <c r="F588" s="11">
        <f>SK[[#This Row],[EŞİT FİRE]]</f>
        <v>0</v>
      </c>
      <c r="G588" s="9">
        <f>IF(MOD(SK[[#This Row],[GEREKLİ ADET]],2)=0,SK[[#This Row],[GEREKLİ ADET]],0)</f>
        <v>0</v>
      </c>
      <c r="H588" s="9">
        <f>SK[[#This Row],[SONDAN KALAN FİRE]]</f>
        <v>0</v>
      </c>
    </row>
    <row r="589" spans="1:8" x14ac:dyDescent="0.3">
      <c r="A589" s="12">
        <f>SK[[#This Row],[TARİH]]</f>
        <v>0</v>
      </c>
      <c r="B589" s="9">
        <f>SK[[#This Row],[TÜR]]</f>
        <v>0</v>
      </c>
      <c r="C589" s="9">
        <f>SK[[#This Row],[MALZEME ]]</f>
        <v>0</v>
      </c>
      <c r="D589" s="9">
        <f>SK[[#This Row],[KALİTE]]</f>
        <v>0</v>
      </c>
      <c r="E589" s="11">
        <f>SK[[#This Row],[FİRE]]</f>
        <v>0</v>
      </c>
      <c r="F589" s="11">
        <f>SK[[#This Row],[EŞİT FİRE]]</f>
        <v>0</v>
      </c>
      <c r="G589" s="9">
        <f>IF(MOD(SK[[#This Row],[GEREKLİ ADET]],2)=0,SK[[#This Row],[GEREKLİ ADET]],0)</f>
        <v>0</v>
      </c>
      <c r="H589" s="9">
        <f>SK[[#This Row],[SONDAN KALAN FİRE]]</f>
        <v>0</v>
      </c>
    </row>
    <row r="590" spans="1:8" x14ac:dyDescent="0.3">
      <c r="A590" s="12">
        <f>SK[[#This Row],[TARİH]]</f>
        <v>0</v>
      </c>
      <c r="B590" s="9">
        <f>SK[[#This Row],[TÜR]]</f>
        <v>0</v>
      </c>
      <c r="C590" s="9">
        <f>SK[[#This Row],[MALZEME ]]</f>
        <v>0</v>
      </c>
      <c r="D590" s="9">
        <f>SK[[#This Row],[KALİTE]]</f>
        <v>0</v>
      </c>
      <c r="E590" s="11">
        <f>SK[[#This Row],[FİRE]]</f>
        <v>0</v>
      </c>
      <c r="F590" s="11">
        <f>SK[[#This Row],[EŞİT FİRE]]</f>
        <v>0</v>
      </c>
      <c r="G590" s="9">
        <f>IF(MOD(SK[[#This Row],[GEREKLİ ADET]],2)=0,SK[[#This Row],[GEREKLİ ADET]],0)</f>
        <v>0</v>
      </c>
      <c r="H590" s="9">
        <f>SK[[#This Row],[SONDAN KALAN FİRE]]</f>
        <v>0</v>
      </c>
    </row>
    <row r="591" spans="1:8" x14ac:dyDescent="0.3">
      <c r="A591" s="12">
        <f>SK[[#This Row],[TARİH]]</f>
        <v>0</v>
      </c>
      <c r="B591" s="9">
        <f>SK[[#This Row],[TÜR]]</f>
        <v>0</v>
      </c>
      <c r="C591" s="9">
        <f>SK[[#This Row],[MALZEME ]]</f>
        <v>0</v>
      </c>
      <c r="D591" s="9">
        <f>SK[[#This Row],[KALİTE]]</f>
        <v>0</v>
      </c>
      <c r="E591" s="11">
        <f>SK[[#This Row],[FİRE]]</f>
        <v>0</v>
      </c>
      <c r="F591" s="11">
        <f>SK[[#This Row],[EŞİT FİRE]]</f>
        <v>0</v>
      </c>
      <c r="G591" s="9">
        <f>IF(MOD(SK[[#This Row],[GEREKLİ ADET]],2)=0,SK[[#This Row],[GEREKLİ ADET]],0)</f>
        <v>0</v>
      </c>
      <c r="H591" s="9">
        <f>SK[[#This Row],[SONDAN KALAN FİRE]]</f>
        <v>0</v>
      </c>
    </row>
    <row r="592" spans="1:8" x14ac:dyDescent="0.3">
      <c r="A592" s="12">
        <f>SK[[#This Row],[TARİH]]</f>
        <v>0</v>
      </c>
      <c r="B592" s="9">
        <f>SK[[#This Row],[TÜR]]</f>
        <v>0</v>
      </c>
      <c r="C592" s="9">
        <f>SK[[#This Row],[MALZEME ]]</f>
        <v>0</v>
      </c>
      <c r="D592" s="9">
        <f>SK[[#This Row],[KALİTE]]</f>
        <v>0</v>
      </c>
      <c r="E592" s="11">
        <f>SK[[#This Row],[FİRE]]</f>
        <v>0</v>
      </c>
      <c r="F592" s="11">
        <f>SK[[#This Row],[EŞİT FİRE]]</f>
        <v>0</v>
      </c>
      <c r="G592" s="9">
        <f>IF(MOD(SK[[#This Row],[GEREKLİ ADET]],2)=0,SK[[#This Row],[GEREKLİ ADET]],0)</f>
        <v>0</v>
      </c>
      <c r="H592" s="9">
        <f>SK[[#This Row],[SONDAN KALAN FİRE]]</f>
        <v>0</v>
      </c>
    </row>
    <row r="593" spans="1:8" x14ac:dyDescent="0.3">
      <c r="A593" s="12">
        <f>SK[[#This Row],[TARİH]]</f>
        <v>0</v>
      </c>
      <c r="B593" s="9">
        <f>SK[[#This Row],[TÜR]]</f>
        <v>0</v>
      </c>
      <c r="C593" s="9">
        <f>SK[[#This Row],[MALZEME ]]</f>
        <v>0</v>
      </c>
      <c r="D593" s="9">
        <f>SK[[#This Row],[KALİTE]]</f>
        <v>0</v>
      </c>
      <c r="E593" s="11">
        <f>SK[[#This Row],[FİRE]]</f>
        <v>0</v>
      </c>
      <c r="F593" s="11">
        <f>SK[[#This Row],[EŞİT FİRE]]</f>
        <v>0</v>
      </c>
      <c r="G593" s="9">
        <f>IF(MOD(SK[[#This Row],[GEREKLİ ADET]],2)=0,SK[[#This Row],[GEREKLİ ADET]],0)</f>
        <v>0</v>
      </c>
      <c r="H593" s="9">
        <f>SK[[#This Row],[SONDAN KALAN FİRE]]</f>
        <v>0</v>
      </c>
    </row>
    <row r="594" spans="1:8" x14ac:dyDescent="0.3">
      <c r="A594" s="12">
        <f>SK[[#This Row],[TARİH]]</f>
        <v>0</v>
      </c>
      <c r="B594" s="9">
        <f>SK[[#This Row],[TÜR]]</f>
        <v>0</v>
      </c>
      <c r="C594" s="9">
        <f>SK[[#This Row],[MALZEME ]]</f>
        <v>0</v>
      </c>
      <c r="D594" s="9">
        <f>SK[[#This Row],[KALİTE]]</f>
        <v>0</v>
      </c>
      <c r="E594" s="11">
        <f>SK[[#This Row],[FİRE]]</f>
        <v>0</v>
      </c>
      <c r="F594" s="11">
        <f>SK[[#This Row],[EŞİT FİRE]]</f>
        <v>0</v>
      </c>
      <c r="G594" s="9">
        <f>IF(MOD(SK[[#This Row],[GEREKLİ ADET]],2)=0,SK[[#This Row],[GEREKLİ ADET]],0)</f>
        <v>0</v>
      </c>
      <c r="H594" s="9">
        <f>SK[[#This Row],[SONDAN KALAN FİRE]]</f>
        <v>0</v>
      </c>
    </row>
    <row r="595" spans="1:8" x14ac:dyDescent="0.3">
      <c r="A595" s="12">
        <f>SK[[#This Row],[TARİH]]</f>
        <v>0</v>
      </c>
      <c r="B595" s="9">
        <f>SK[[#This Row],[TÜR]]</f>
        <v>0</v>
      </c>
      <c r="C595" s="9">
        <f>SK[[#This Row],[MALZEME ]]</f>
        <v>0</v>
      </c>
      <c r="D595" s="9">
        <f>SK[[#This Row],[KALİTE]]</f>
        <v>0</v>
      </c>
      <c r="E595" s="11">
        <f>SK[[#This Row],[FİRE]]</f>
        <v>0</v>
      </c>
      <c r="F595" s="11">
        <f>SK[[#This Row],[EŞİT FİRE]]</f>
        <v>0</v>
      </c>
      <c r="G595" s="9">
        <f>IF(MOD(SK[[#This Row],[GEREKLİ ADET]],2)=0,SK[[#This Row],[GEREKLİ ADET]],0)</f>
        <v>0</v>
      </c>
      <c r="H595" s="9">
        <f>SK[[#This Row],[SONDAN KALAN FİRE]]</f>
        <v>0</v>
      </c>
    </row>
    <row r="596" spans="1:8" x14ac:dyDescent="0.3">
      <c r="A596" s="12">
        <f>SK[[#This Row],[TARİH]]</f>
        <v>0</v>
      </c>
      <c r="B596" s="9">
        <f>SK[[#This Row],[TÜR]]</f>
        <v>0</v>
      </c>
      <c r="C596" s="9">
        <f>SK[[#This Row],[MALZEME ]]</f>
        <v>0</v>
      </c>
      <c r="D596" s="9">
        <f>SK[[#This Row],[KALİTE]]</f>
        <v>0</v>
      </c>
      <c r="E596" s="11">
        <f>SK[[#This Row],[FİRE]]</f>
        <v>0</v>
      </c>
      <c r="F596" s="11">
        <f>SK[[#This Row],[EŞİT FİRE]]</f>
        <v>0</v>
      </c>
      <c r="G596" s="9">
        <f>IF(MOD(SK[[#This Row],[GEREKLİ ADET]],2)=0,SK[[#This Row],[GEREKLİ ADET]],0)</f>
        <v>0</v>
      </c>
      <c r="H596" s="9">
        <f>SK[[#This Row],[SONDAN KALAN FİRE]]</f>
        <v>0</v>
      </c>
    </row>
    <row r="597" spans="1:8" x14ac:dyDescent="0.3">
      <c r="A597" s="12">
        <f>SK[[#This Row],[TARİH]]</f>
        <v>0</v>
      </c>
      <c r="B597" s="9">
        <f>SK[[#This Row],[TÜR]]</f>
        <v>0</v>
      </c>
      <c r="C597" s="9">
        <f>SK[[#This Row],[MALZEME ]]</f>
        <v>0</v>
      </c>
      <c r="D597" s="9">
        <f>SK[[#This Row],[KALİTE]]</f>
        <v>0</v>
      </c>
      <c r="E597" s="11">
        <f>SK[[#This Row],[FİRE]]</f>
        <v>0</v>
      </c>
      <c r="F597" s="11">
        <f>SK[[#This Row],[EŞİT FİRE]]</f>
        <v>0</v>
      </c>
      <c r="G597" s="9">
        <f>IF(MOD(SK[[#This Row],[GEREKLİ ADET]],2)=0,SK[[#This Row],[GEREKLİ ADET]],0)</f>
        <v>0</v>
      </c>
      <c r="H597" s="9">
        <f>SK[[#This Row],[SONDAN KALAN FİRE]]</f>
        <v>0</v>
      </c>
    </row>
    <row r="598" spans="1:8" x14ac:dyDescent="0.3">
      <c r="A598" s="12">
        <f>SK[[#This Row],[TARİH]]</f>
        <v>0</v>
      </c>
      <c r="B598" s="9">
        <f>SK[[#This Row],[TÜR]]</f>
        <v>0</v>
      </c>
      <c r="C598" s="9">
        <f>SK[[#This Row],[MALZEME ]]</f>
        <v>0</v>
      </c>
      <c r="D598" s="9">
        <f>SK[[#This Row],[KALİTE]]</f>
        <v>0</v>
      </c>
      <c r="E598" s="11">
        <f>SK[[#This Row],[FİRE]]</f>
        <v>0</v>
      </c>
      <c r="F598" s="11">
        <f>SK[[#This Row],[EŞİT FİRE]]</f>
        <v>0</v>
      </c>
      <c r="G598" s="9">
        <f>IF(MOD(SK[[#This Row],[GEREKLİ ADET]],2)=0,SK[[#This Row],[GEREKLİ ADET]],0)</f>
        <v>0</v>
      </c>
      <c r="H598" s="9">
        <f>SK[[#This Row],[SONDAN KALAN FİRE]]</f>
        <v>0</v>
      </c>
    </row>
    <row r="599" spans="1:8" x14ac:dyDescent="0.3">
      <c r="A599" s="12">
        <f>SK[[#This Row],[TARİH]]</f>
        <v>0</v>
      </c>
      <c r="B599" s="9">
        <f>SK[[#This Row],[TÜR]]</f>
        <v>0</v>
      </c>
      <c r="C599" s="9">
        <f>SK[[#This Row],[MALZEME ]]</f>
        <v>0</v>
      </c>
      <c r="D599" s="9">
        <f>SK[[#This Row],[KALİTE]]</f>
        <v>0</v>
      </c>
      <c r="E599" s="11">
        <f>SK[[#This Row],[FİRE]]</f>
        <v>0</v>
      </c>
      <c r="F599" s="11">
        <f>SK[[#This Row],[EŞİT FİRE]]</f>
        <v>0</v>
      </c>
      <c r="G599" s="9">
        <f>IF(MOD(SK[[#This Row],[GEREKLİ ADET]],2)=0,SK[[#This Row],[GEREKLİ ADET]],0)</f>
        <v>0</v>
      </c>
      <c r="H599" s="9">
        <f>SK[[#This Row],[SONDAN KALAN FİRE]]</f>
        <v>0</v>
      </c>
    </row>
    <row r="600" spans="1:8" x14ac:dyDescent="0.3">
      <c r="A600" s="12">
        <f>SK[[#This Row],[TARİH]]</f>
        <v>0</v>
      </c>
      <c r="B600" s="9">
        <f>SK[[#This Row],[TÜR]]</f>
        <v>0</v>
      </c>
      <c r="C600" s="9">
        <f>SK[[#This Row],[MALZEME ]]</f>
        <v>0</v>
      </c>
      <c r="D600" s="9">
        <f>SK[[#This Row],[KALİTE]]</f>
        <v>0</v>
      </c>
      <c r="E600" s="11">
        <f>SK[[#This Row],[FİRE]]</f>
        <v>0</v>
      </c>
      <c r="F600" s="11">
        <f>SK[[#This Row],[EŞİT FİRE]]</f>
        <v>0</v>
      </c>
      <c r="G600" s="9">
        <f>IF(MOD(SK[[#This Row],[GEREKLİ ADET]],2)=0,SK[[#This Row],[GEREKLİ ADET]],0)</f>
        <v>0</v>
      </c>
      <c r="H600" s="9">
        <f>SK[[#This Row],[SONDAN KALAN FİRE]]</f>
        <v>0</v>
      </c>
    </row>
    <row r="601" spans="1:8" x14ac:dyDescent="0.3">
      <c r="A601" s="12">
        <f>SK[[#This Row],[TARİH]]</f>
        <v>0</v>
      </c>
      <c r="B601" s="9">
        <f>SK[[#This Row],[TÜR]]</f>
        <v>0</v>
      </c>
      <c r="C601" s="9">
        <f>SK[[#This Row],[MALZEME ]]</f>
        <v>0</v>
      </c>
      <c r="D601" s="9">
        <f>SK[[#This Row],[KALİTE]]</f>
        <v>0</v>
      </c>
      <c r="E601" s="11">
        <f>SK[[#This Row],[FİRE]]</f>
        <v>0</v>
      </c>
      <c r="F601" s="11">
        <f>SK[[#This Row],[EŞİT FİRE]]</f>
        <v>0</v>
      </c>
      <c r="G601" s="9">
        <f>IF(MOD(SK[[#This Row],[GEREKLİ ADET]],2)=0,SK[[#This Row],[GEREKLİ ADET]],0)</f>
        <v>0</v>
      </c>
      <c r="H601" s="9">
        <f>SK[[#This Row],[SONDAN KALAN FİRE]]</f>
        <v>0</v>
      </c>
    </row>
    <row r="602" spans="1:8" x14ac:dyDescent="0.3">
      <c r="A602" s="12">
        <f>SK[[#This Row],[TARİH]]</f>
        <v>0</v>
      </c>
      <c r="B602" s="9">
        <f>SK[[#This Row],[TÜR]]</f>
        <v>0</v>
      </c>
      <c r="C602" s="9">
        <f>SK[[#This Row],[MALZEME ]]</f>
        <v>0</v>
      </c>
      <c r="D602" s="9">
        <f>SK[[#This Row],[KALİTE]]</f>
        <v>0</v>
      </c>
      <c r="E602" s="11">
        <f>SK[[#This Row],[FİRE]]</f>
        <v>0</v>
      </c>
      <c r="F602" s="11">
        <f>SK[[#This Row],[EŞİT FİRE]]</f>
        <v>0</v>
      </c>
      <c r="G602" s="9">
        <f>IF(MOD(SK[[#This Row],[GEREKLİ ADET]],2)=0,SK[[#This Row],[GEREKLİ ADET]],0)</f>
        <v>0</v>
      </c>
      <c r="H602" s="9">
        <f>SK[[#This Row],[SONDAN KALAN FİRE]]</f>
        <v>0</v>
      </c>
    </row>
    <row r="603" spans="1:8" x14ac:dyDescent="0.3">
      <c r="A603" s="12">
        <f>SK[[#This Row],[TARİH]]</f>
        <v>0</v>
      </c>
      <c r="B603" s="9">
        <f>SK[[#This Row],[TÜR]]</f>
        <v>0</v>
      </c>
      <c r="C603" s="9">
        <f>SK[[#This Row],[MALZEME ]]</f>
        <v>0</v>
      </c>
      <c r="D603" s="9">
        <f>SK[[#This Row],[KALİTE]]</f>
        <v>0</v>
      </c>
      <c r="E603" s="11">
        <f>SK[[#This Row],[FİRE]]</f>
        <v>0</v>
      </c>
      <c r="F603" s="11">
        <f>SK[[#This Row],[EŞİT FİRE]]</f>
        <v>0</v>
      </c>
      <c r="G603" s="9">
        <f>IF(MOD(SK[[#This Row],[GEREKLİ ADET]],2)=0,SK[[#This Row],[GEREKLİ ADET]],0)</f>
        <v>0</v>
      </c>
      <c r="H603" s="9">
        <f>SK[[#This Row],[SONDAN KALAN FİRE]]</f>
        <v>0</v>
      </c>
    </row>
    <row r="604" spans="1:8" x14ac:dyDescent="0.3">
      <c r="A604" s="12">
        <f>SK[[#This Row],[TARİH]]</f>
        <v>0</v>
      </c>
      <c r="B604" s="9">
        <f>SK[[#This Row],[TÜR]]</f>
        <v>0</v>
      </c>
      <c r="C604" s="9">
        <f>SK[[#This Row],[MALZEME ]]</f>
        <v>0</v>
      </c>
      <c r="D604" s="9">
        <f>SK[[#This Row],[KALİTE]]</f>
        <v>0</v>
      </c>
      <c r="E604" s="11">
        <f>SK[[#This Row],[FİRE]]</f>
        <v>0</v>
      </c>
      <c r="F604" s="11">
        <f>SK[[#This Row],[EŞİT FİRE]]</f>
        <v>0</v>
      </c>
      <c r="G604" s="9">
        <f>IF(MOD(SK[[#This Row],[GEREKLİ ADET]],2)=0,SK[[#This Row],[GEREKLİ ADET]],0)</f>
        <v>0</v>
      </c>
      <c r="H604" s="9">
        <f>SK[[#This Row],[SONDAN KALAN FİRE]]</f>
        <v>0</v>
      </c>
    </row>
    <row r="605" spans="1:8" x14ac:dyDescent="0.3">
      <c r="A605" s="12">
        <f>SK[[#This Row],[TARİH]]</f>
        <v>0</v>
      </c>
      <c r="B605" s="9">
        <f>SK[[#This Row],[TÜR]]</f>
        <v>0</v>
      </c>
      <c r="C605" s="9">
        <f>SK[[#This Row],[MALZEME ]]</f>
        <v>0</v>
      </c>
      <c r="D605" s="9">
        <f>SK[[#This Row],[KALİTE]]</f>
        <v>0</v>
      </c>
      <c r="E605" s="11">
        <f>SK[[#This Row],[FİRE]]</f>
        <v>0</v>
      </c>
      <c r="F605" s="11">
        <f>SK[[#This Row],[EŞİT FİRE]]</f>
        <v>0</v>
      </c>
      <c r="G605" s="9">
        <f>IF(MOD(SK[[#This Row],[GEREKLİ ADET]],2)=0,SK[[#This Row],[GEREKLİ ADET]],0)</f>
        <v>0</v>
      </c>
      <c r="H605" s="9">
        <f>SK[[#This Row],[SONDAN KALAN FİRE]]</f>
        <v>0</v>
      </c>
    </row>
    <row r="606" spans="1:8" x14ac:dyDescent="0.3">
      <c r="A606" s="12">
        <f>SK[[#This Row],[TARİH]]</f>
        <v>0</v>
      </c>
      <c r="B606" s="9">
        <f>SK[[#This Row],[TÜR]]</f>
        <v>0</v>
      </c>
      <c r="C606" s="9">
        <f>SK[[#This Row],[MALZEME ]]</f>
        <v>0</v>
      </c>
      <c r="D606" s="9">
        <f>SK[[#This Row],[KALİTE]]</f>
        <v>0</v>
      </c>
      <c r="E606" s="11">
        <f>SK[[#This Row],[FİRE]]</f>
        <v>0</v>
      </c>
      <c r="F606" s="11">
        <f>SK[[#This Row],[EŞİT FİRE]]</f>
        <v>0</v>
      </c>
      <c r="G606" s="9">
        <f>IF(MOD(SK[[#This Row],[GEREKLİ ADET]],2)=0,SK[[#This Row],[GEREKLİ ADET]],0)</f>
        <v>0</v>
      </c>
      <c r="H606" s="9">
        <f>SK[[#This Row],[SONDAN KALAN FİRE]]</f>
        <v>0</v>
      </c>
    </row>
    <row r="607" spans="1:8" x14ac:dyDescent="0.3">
      <c r="A607" s="12">
        <f>SK[[#This Row],[TARİH]]</f>
        <v>0</v>
      </c>
      <c r="B607" s="9">
        <f>SK[[#This Row],[TÜR]]</f>
        <v>0</v>
      </c>
      <c r="C607" s="9">
        <f>SK[[#This Row],[MALZEME ]]</f>
        <v>0</v>
      </c>
      <c r="D607" s="9">
        <f>SK[[#This Row],[KALİTE]]</f>
        <v>0</v>
      </c>
      <c r="E607" s="11">
        <f>SK[[#This Row],[FİRE]]</f>
        <v>0</v>
      </c>
      <c r="F607" s="11">
        <f>SK[[#This Row],[EŞİT FİRE]]</f>
        <v>0</v>
      </c>
      <c r="G607" s="9">
        <f>IF(MOD(SK[[#This Row],[GEREKLİ ADET]],2)=0,SK[[#This Row],[GEREKLİ ADET]],0)</f>
        <v>0</v>
      </c>
      <c r="H607" s="9">
        <f>SK[[#This Row],[SONDAN KALAN FİRE]]</f>
        <v>0</v>
      </c>
    </row>
    <row r="608" spans="1:8" x14ac:dyDescent="0.3">
      <c r="A608" s="12">
        <f>SK[[#This Row],[TARİH]]</f>
        <v>0</v>
      </c>
      <c r="B608" s="9">
        <f>SK[[#This Row],[TÜR]]</f>
        <v>0</v>
      </c>
      <c r="C608" s="9">
        <f>SK[[#This Row],[MALZEME ]]</f>
        <v>0</v>
      </c>
      <c r="D608" s="9">
        <f>SK[[#This Row],[KALİTE]]</f>
        <v>0</v>
      </c>
      <c r="E608" s="11">
        <f>SK[[#This Row],[FİRE]]</f>
        <v>0</v>
      </c>
      <c r="F608" s="11">
        <f>SK[[#This Row],[EŞİT FİRE]]</f>
        <v>0</v>
      </c>
      <c r="G608" s="9">
        <f>IF(MOD(SK[[#This Row],[GEREKLİ ADET]],2)=0,SK[[#This Row],[GEREKLİ ADET]],0)</f>
        <v>0</v>
      </c>
      <c r="H608" s="9">
        <f>SK[[#This Row],[SONDAN KALAN FİRE]]</f>
        <v>0</v>
      </c>
    </row>
    <row r="609" spans="1:8" x14ac:dyDescent="0.3">
      <c r="A609" s="12">
        <f>SK[[#This Row],[TARİH]]</f>
        <v>0</v>
      </c>
      <c r="B609" s="9">
        <f>SK[[#This Row],[TÜR]]</f>
        <v>0</v>
      </c>
      <c r="C609" s="9">
        <f>SK[[#This Row],[MALZEME ]]</f>
        <v>0</v>
      </c>
      <c r="D609" s="9">
        <f>SK[[#This Row],[KALİTE]]</f>
        <v>0</v>
      </c>
      <c r="E609" s="11">
        <f>SK[[#This Row],[FİRE]]</f>
        <v>0</v>
      </c>
      <c r="F609" s="11">
        <f>SK[[#This Row],[EŞİT FİRE]]</f>
        <v>0</v>
      </c>
      <c r="G609" s="9">
        <f>IF(MOD(SK[[#This Row],[GEREKLİ ADET]],2)=0,SK[[#This Row],[GEREKLİ ADET]],0)</f>
        <v>0</v>
      </c>
      <c r="H609" s="9">
        <f>SK[[#This Row],[SONDAN KALAN FİRE]]</f>
        <v>0</v>
      </c>
    </row>
    <row r="610" spans="1:8" x14ac:dyDescent="0.3">
      <c r="A610" s="12">
        <f>SK[[#This Row],[TARİH]]</f>
        <v>0</v>
      </c>
      <c r="B610" s="9">
        <f>SK[[#This Row],[TÜR]]</f>
        <v>0</v>
      </c>
      <c r="C610" s="9">
        <f>SK[[#This Row],[MALZEME ]]</f>
        <v>0</v>
      </c>
      <c r="D610" s="9">
        <f>SK[[#This Row],[KALİTE]]</f>
        <v>0</v>
      </c>
      <c r="E610" s="11">
        <f>SK[[#This Row],[FİRE]]</f>
        <v>0</v>
      </c>
      <c r="F610" s="11">
        <f>SK[[#This Row],[EŞİT FİRE]]</f>
        <v>0</v>
      </c>
      <c r="G610" s="9">
        <f>IF(MOD(SK[[#This Row],[GEREKLİ ADET]],2)=0,SK[[#This Row],[GEREKLİ ADET]],0)</f>
        <v>0</v>
      </c>
      <c r="H610" s="9">
        <f>SK[[#This Row],[SONDAN KALAN FİRE]]</f>
        <v>0</v>
      </c>
    </row>
    <row r="611" spans="1:8" x14ac:dyDescent="0.3">
      <c r="A611" s="12">
        <f>SK[[#This Row],[TARİH]]</f>
        <v>0</v>
      </c>
      <c r="B611" s="9">
        <f>SK[[#This Row],[TÜR]]</f>
        <v>0</v>
      </c>
      <c r="C611" s="9">
        <f>SK[[#This Row],[MALZEME ]]</f>
        <v>0</v>
      </c>
      <c r="D611" s="9">
        <f>SK[[#This Row],[KALİTE]]</f>
        <v>0</v>
      </c>
      <c r="E611" s="11">
        <f>SK[[#This Row],[FİRE]]</f>
        <v>0</v>
      </c>
      <c r="F611" s="11">
        <f>SK[[#This Row],[EŞİT FİRE]]</f>
        <v>0</v>
      </c>
      <c r="G611" s="9">
        <f>IF(MOD(SK[[#This Row],[GEREKLİ ADET]],2)=0,SK[[#This Row],[GEREKLİ ADET]],0)</f>
        <v>0</v>
      </c>
      <c r="H611" s="9">
        <f>SK[[#This Row],[SONDAN KALAN FİRE]]</f>
        <v>0</v>
      </c>
    </row>
    <row r="612" spans="1:8" x14ac:dyDescent="0.3">
      <c r="A612" s="12">
        <f>SK[[#This Row],[TARİH]]</f>
        <v>0</v>
      </c>
      <c r="B612" s="9">
        <f>SK[[#This Row],[TÜR]]</f>
        <v>0</v>
      </c>
      <c r="C612" s="9">
        <f>SK[[#This Row],[MALZEME ]]</f>
        <v>0</v>
      </c>
      <c r="D612" s="9">
        <f>SK[[#This Row],[KALİTE]]</f>
        <v>0</v>
      </c>
      <c r="E612" s="11">
        <f>SK[[#This Row],[FİRE]]</f>
        <v>0</v>
      </c>
      <c r="F612" s="11">
        <f>SK[[#This Row],[EŞİT FİRE]]</f>
        <v>0</v>
      </c>
      <c r="G612" s="9">
        <f>IF(MOD(SK[[#This Row],[GEREKLİ ADET]],2)=0,SK[[#This Row],[GEREKLİ ADET]],0)</f>
        <v>0</v>
      </c>
      <c r="H612" s="9">
        <f>SK[[#This Row],[SONDAN KALAN FİRE]]</f>
        <v>0</v>
      </c>
    </row>
    <row r="613" spans="1:8" x14ac:dyDescent="0.3">
      <c r="A613" s="12">
        <f>SK[[#This Row],[TARİH]]</f>
        <v>0</v>
      </c>
      <c r="B613" s="9">
        <f>SK[[#This Row],[TÜR]]</f>
        <v>0</v>
      </c>
      <c r="C613" s="9">
        <f>SK[[#This Row],[MALZEME ]]</f>
        <v>0</v>
      </c>
      <c r="D613" s="9">
        <f>SK[[#This Row],[KALİTE]]</f>
        <v>0</v>
      </c>
      <c r="E613" s="11">
        <f>SK[[#This Row],[FİRE]]</f>
        <v>0</v>
      </c>
      <c r="F613" s="11">
        <f>SK[[#This Row],[EŞİT FİRE]]</f>
        <v>0</v>
      </c>
      <c r="G613" s="9">
        <f>IF(MOD(SK[[#This Row],[GEREKLİ ADET]],2)=0,SK[[#This Row],[GEREKLİ ADET]],0)</f>
        <v>0</v>
      </c>
      <c r="H613" s="9">
        <f>SK[[#This Row],[SONDAN KALAN FİRE]]</f>
        <v>0</v>
      </c>
    </row>
    <row r="614" spans="1:8" x14ac:dyDescent="0.3">
      <c r="A614" s="12">
        <f>SK[[#This Row],[TARİH]]</f>
        <v>0</v>
      </c>
      <c r="B614" s="9">
        <f>SK[[#This Row],[TÜR]]</f>
        <v>0</v>
      </c>
      <c r="C614" s="9">
        <f>SK[[#This Row],[MALZEME ]]</f>
        <v>0</v>
      </c>
      <c r="D614" s="9">
        <f>SK[[#This Row],[KALİTE]]</f>
        <v>0</v>
      </c>
      <c r="E614" s="11">
        <f>SK[[#This Row],[FİRE]]</f>
        <v>0</v>
      </c>
      <c r="F614" s="11">
        <f>SK[[#This Row],[EŞİT FİRE]]</f>
        <v>0</v>
      </c>
      <c r="G614" s="9">
        <f>IF(MOD(SK[[#This Row],[GEREKLİ ADET]],2)=0,SK[[#This Row],[GEREKLİ ADET]],0)</f>
        <v>0</v>
      </c>
      <c r="H614" s="9">
        <f>SK[[#This Row],[SONDAN KALAN FİRE]]</f>
        <v>0</v>
      </c>
    </row>
    <row r="615" spans="1:8" x14ac:dyDescent="0.3">
      <c r="A615" s="12">
        <f>SK[[#This Row],[TARİH]]</f>
        <v>0</v>
      </c>
      <c r="B615" s="9">
        <f>SK[[#This Row],[TÜR]]</f>
        <v>0</v>
      </c>
      <c r="C615" s="9">
        <f>SK[[#This Row],[MALZEME ]]</f>
        <v>0</v>
      </c>
      <c r="D615" s="9">
        <f>SK[[#This Row],[KALİTE]]</f>
        <v>0</v>
      </c>
      <c r="E615" s="11">
        <f>SK[[#This Row],[FİRE]]</f>
        <v>0</v>
      </c>
      <c r="F615" s="11">
        <f>SK[[#This Row],[EŞİT FİRE]]</f>
        <v>0</v>
      </c>
      <c r="G615" s="9">
        <f>IF(MOD(SK[[#This Row],[GEREKLİ ADET]],2)=0,SK[[#This Row],[GEREKLİ ADET]],0)</f>
        <v>0</v>
      </c>
      <c r="H615" s="9">
        <f>SK[[#This Row],[SONDAN KALAN FİRE]]</f>
        <v>0</v>
      </c>
    </row>
    <row r="616" spans="1:8" x14ac:dyDescent="0.3">
      <c r="A616" s="12">
        <f>SK[[#This Row],[TARİH]]</f>
        <v>0</v>
      </c>
      <c r="B616" s="9">
        <f>SK[[#This Row],[TÜR]]</f>
        <v>0</v>
      </c>
      <c r="C616" s="9">
        <f>SK[[#This Row],[MALZEME ]]</f>
        <v>0</v>
      </c>
      <c r="D616" s="9">
        <f>SK[[#This Row],[KALİTE]]</f>
        <v>0</v>
      </c>
      <c r="E616" s="11">
        <f>SK[[#This Row],[FİRE]]</f>
        <v>0</v>
      </c>
      <c r="F616" s="11">
        <f>SK[[#This Row],[EŞİT FİRE]]</f>
        <v>0</v>
      </c>
      <c r="G616" s="9">
        <f>IF(MOD(SK[[#This Row],[GEREKLİ ADET]],2)=0,SK[[#This Row],[GEREKLİ ADET]],0)</f>
        <v>0</v>
      </c>
      <c r="H616" s="9">
        <f>SK[[#This Row],[SONDAN KALAN FİRE]]</f>
        <v>0</v>
      </c>
    </row>
    <row r="617" spans="1:8" x14ac:dyDescent="0.3">
      <c r="A617" s="12">
        <f>SK[[#This Row],[TARİH]]</f>
        <v>0</v>
      </c>
      <c r="B617" s="9">
        <f>SK[[#This Row],[TÜR]]</f>
        <v>0</v>
      </c>
      <c r="C617" s="9">
        <f>SK[[#This Row],[MALZEME ]]</f>
        <v>0</v>
      </c>
      <c r="D617" s="9">
        <f>SK[[#This Row],[KALİTE]]</f>
        <v>0</v>
      </c>
      <c r="E617" s="11">
        <f>SK[[#This Row],[FİRE]]</f>
        <v>0</v>
      </c>
      <c r="F617" s="11">
        <f>SK[[#This Row],[EŞİT FİRE]]</f>
        <v>0</v>
      </c>
      <c r="G617" s="9">
        <f>IF(MOD(SK[[#This Row],[GEREKLİ ADET]],2)=0,SK[[#This Row],[GEREKLİ ADET]],0)</f>
        <v>0</v>
      </c>
      <c r="H617" s="9">
        <f>SK[[#This Row],[SONDAN KALAN FİRE]]</f>
        <v>0</v>
      </c>
    </row>
    <row r="618" spans="1:8" x14ac:dyDescent="0.3">
      <c r="A618" s="12">
        <f>SK[[#This Row],[TARİH]]</f>
        <v>0</v>
      </c>
      <c r="B618" s="9">
        <f>SK[[#This Row],[TÜR]]</f>
        <v>0</v>
      </c>
      <c r="C618" s="9">
        <f>SK[[#This Row],[MALZEME ]]</f>
        <v>0</v>
      </c>
      <c r="D618" s="9">
        <f>SK[[#This Row],[KALİTE]]</f>
        <v>0</v>
      </c>
      <c r="E618" s="11">
        <f>SK[[#This Row],[FİRE]]</f>
        <v>0</v>
      </c>
      <c r="F618" s="11">
        <f>SK[[#This Row],[EŞİT FİRE]]</f>
        <v>0</v>
      </c>
      <c r="G618" s="9">
        <f>IF(MOD(SK[[#This Row],[GEREKLİ ADET]],2)=0,SK[[#This Row],[GEREKLİ ADET]],0)</f>
        <v>0</v>
      </c>
      <c r="H618" s="9">
        <f>SK[[#This Row],[SONDAN KALAN FİRE]]</f>
        <v>0</v>
      </c>
    </row>
    <row r="619" spans="1:8" x14ac:dyDescent="0.3">
      <c r="A619" s="12">
        <f>SK[[#This Row],[TARİH]]</f>
        <v>0</v>
      </c>
      <c r="B619" s="9">
        <f>SK[[#This Row],[TÜR]]</f>
        <v>0</v>
      </c>
      <c r="C619" s="9">
        <f>SK[[#This Row],[MALZEME ]]</f>
        <v>0</v>
      </c>
      <c r="D619" s="9">
        <f>SK[[#This Row],[KALİTE]]</f>
        <v>0</v>
      </c>
      <c r="E619" s="11">
        <f>SK[[#This Row],[FİRE]]</f>
        <v>0</v>
      </c>
      <c r="F619" s="11">
        <f>SK[[#This Row],[EŞİT FİRE]]</f>
        <v>0</v>
      </c>
      <c r="G619" s="9">
        <f>IF(MOD(SK[[#This Row],[GEREKLİ ADET]],2)=0,SK[[#This Row],[GEREKLİ ADET]],0)</f>
        <v>0</v>
      </c>
      <c r="H619" s="9">
        <f>SK[[#This Row],[SONDAN KALAN FİRE]]</f>
        <v>0</v>
      </c>
    </row>
    <row r="620" spans="1:8" x14ac:dyDescent="0.3">
      <c r="A620" s="12">
        <f>SK[[#This Row],[TARİH]]</f>
        <v>0</v>
      </c>
      <c r="B620" s="9">
        <f>SK[[#This Row],[TÜR]]</f>
        <v>0</v>
      </c>
      <c r="C620" s="9">
        <f>SK[[#This Row],[MALZEME ]]</f>
        <v>0</v>
      </c>
      <c r="D620" s="9">
        <f>SK[[#This Row],[KALİTE]]</f>
        <v>0</v>
      </c>
      <c r="E620" s="11">
        <f>SK[[#This Row],[FİRE]]</f>
        <v>0</v>
      </c>
      <c r="F620" s="11">
        <f>SK[[#This Row],[EŞİT FİRE]]</f>
        <v>0</v>
      </c>
      <c r="G620" s="9">
        <f>IF(MOD(SK[[#This Row],[GEREKLİ ADET]],2)=0,SK[[#This Row],[GEREKLİ ADET]],0)</f>
        <v>0</v>
      </c>
      <c r="H620" s="9">
        <f>SK[[#This Row],[SONDAN KALAN FİRE]]</f>
        <v>0</v>
      </c>
    </row>
    <row r="621" spans="1:8" x14ac:dyDescent="0.3">
      <c r="A621" s="12">
        <f>SK[[#This Row],[TARİH]]</f>
        <v>0</v>
      </c>
      <c r="B621" s="9">
        <f>SK[[#This Row],[TÜR]]</f>
        <v>0</v>
      </c>
      <c r="C621" s="9">
        <f>SK[[#This Row],[MALZEME ]]</f>
        <v>0</v>
      </c>
      <c r="D621" s="9">
        <f>SK[[#This Row],[KALİTE]]</f>
        <v>0</v>
      </c>
      <c r="E621" s="11">
        <f>SK[[#This Row],[FİRE]]</f>
        <v>0</v>
      </c>
      <c r="F621" s="11">
        <f>SK[[#This Row],[EŞİT FİRE]]</f>
        <v>0</v>
      </c>
      <c r="G621" s="9">
        <f>IF(MOD(SK[[#This Row],[GEREKLİ ADET]],2)=0,SK[[#This Row],[GEREKLİ ADET]],0)</f>
        <v>0</v>
      </c>
      <c r="H621" s="9">
        <f>SK[[#This Row],[SONDAN KALAN FİRE]]</f>
        <v>0</v>
      </c>
    </row>
    <row r="622" spans="1:8" x14ac:dyDescent="0.3">
      <c r="A622" s="12">
        <f>SK[[#This Row],[TARİH]]</f>
        <v>0</v>
      </c>
      <c r="B622" s="9">
        <f>SK[[#This Row],[TÜR]]</f>
        <v>0</v>
      </c>
      <c r="C622" s="9">
        <f>SK[[#This Row],[MALZEME ]]</f>
        <v>0</v>
      </c>
      <c r="D622" s="9">
        <f>SK[[#This Row],[KALİTE]]</f>
        <v>0</v>
      </c>
      <c r="E622" s="11">
        <f>SK[[#This Row],[FİRE]]</f>
        <v>0</v>
      </c>
      <c r="F622" s="11">
        <f>SK[[#This Row],[EŞİT FİRE]]</f>
        <v>0</v>
      </c>
      <c r="G622" s="9">
        <f>IF(MOD(SK[[#This Row],[GEREKLİ ADET]],2)=0,SK[[#This Row],[GEREKLİ ADET]],0)</f>
        <v>0</v>
      </c>
      <c r="H622" s="9">
        <f>SK[[#This Row],[SONDAN KALAN FİRE]]</f>
        <v>0</v>
      </c>
    </row>
    <row r="623" spans="1:8" x14ac:dyDescent="0.3">
      <c r="A623" s="12">
        <f>SK[[#This Row],[TARİH]]</f>
        <v>0</v>
      </c>
      <c r="B623" s="9">
        <f>SK[[#This Row],[TÜR]]</f>
        <v>0</v>
      </c>
      <c r="C623" s="9">
        <f>SK[[#This Row],[MALZEME ]]</f>
        <v>0</v>
      </c>
      <c r="D623" s="9">
        <f>SK[[#This Row],[KALİTE]]</f>
        <v>0</v>
      </c>
      <c r="E623" s="11">
        <f>SK[[#This Row],[FİRE]]</f>
        <v>0</v>
      </c>
      <c r="F623" s="11">
        <f>SK[[#This Row],[EŞİT FİRE]]</f>
        <v>0</v>
      </c>
      <c r="G623" s="9">
        <f>IF(MOD(SK[[#This Row],[GEREKLİ ADET]],2)=0,SK[[#This Row],[GEREKLİ ADET]],0)</f>
        <v>0</v>
      </c>
      <c r="H623" s="9">
        <f>SK[[#This Row],[SONDAN KALAN FİRE]]</f>
        <v>0</v>
      </c>
    </row>
    <row r="624" spans="1:8" x14ac:dyDescent="0.3">
      <c r="A624" s="12">
        <f>SK[[#This Row],[TARİH]]</f>
        <v>0</v>
      </c>
      <c r="B624" s="9">
        <f>SK[[#This Row],[TÜR]]</f>
        <v>0</v>
      </c>
      <c r="C624" s="9">
        <f>SK[[#This Row],[MALZEME ]]</f>
        <v>0</v>
      </c>
      <c r="D624" s="9">
        <f>SK[[#This Row],[KALİTE]]</f>
        <v>0</v>
      </c>
      <c r="E624" s="11">
        <f>SK[[#This Row],[FİRE]]</f>
        <v>0</v>
      </c>
      <c r="F624" s="11">
        <f>SK[[#This Row],[EŞİT FİRE]]</f>
        <v>0</v>
      </c>
      <c r="G624" s="9">
        <f>IF(MOD(SK[[#This Row],[GEREKLİ ADET]],2)=0,SK[[#This Row],[GEREKLİ ADET]],0)</f>
        <v>0</v>
      </c>
      <c r="H624" s="9">
        <f>SK[[#This Row],[SONDAN KALAN FİRE]]</f>
        <v>0</v>
      </c>
    </row>
    <row r="625" spans="1:8" x14ac:dyDescent="0.3">
      <c r="A625" s="12">
        <f>SK[[#This Row],[TARİH]]</f>
        <v>0</v>
      </c>
      <c r="B625" s="9">
        <f>SK[[#This Row],[TÜR]]</f>
        <v>0</v>
      </c>
      <c r="C625" s="9">
        <f>SK[[#This Row],[MALZEME ]]</f>
        <v>0</v>
      </c>
      <c r="D625" s="9">
        <f>SK[[#This Row],[KALİTE]]</f>
        <v>0</v>
      </c>
      <c r="E625" s="11">
        <f>SK[[#This Row],[FİRE]]</f>
        <v>0</v>
      </c>
      <c r="F625" s="11">
        <f>SK[[#This Row],[EŞİT FİRE]]</f>
        <v>0</v>
      </c>
      <c r="G625" s="9">
        <f>IF(MOD(SK[[#This Row],[GEREKLİ ADET]],2)=0,SK[[#This Row],[GEREKLİ ADET]],0)</f>
        <v>0</v>
      </c>
      <c r="H625" s="9">
        <f>SK[[#This Row],[SONDAN KALAN FİRE]]</f>
        <v>0</v>
      </c>
    </row>
    <row r="626" spans="1:8" x14ac:dyDescent="0.3">
      <c r="A626" s="12">
        <f>SK[[#This Row],[TARİH]]</f>
        <v>0</v>
      </c>
      <c r="B626" s="9">
        <f>SK[[#This Row],[TÜR]]</f>
        <v>0</v>
      </c>
      <c r="C626" s="9">
        <f>SK[[#This Row],[MALZEME ]]</f>
        <v>0</v>
      </c>
      <c r="D626" s="9">
        <f>SK[[#This Row],[KALİTE]]</f>
        <v>0</v>
      </c>
      <c r="E626" s="11">
        <f>SK[[#This Row],[FİRE]]</f>
        <v>0</v>
      </c>
      <c r="F626" s="11">
        <f>SK[[#This Row],[EŞİT FİRE]]</f>
        <v>0</v>
      </c>
      <c r="G626" s="9">
        <f>IF(MOD(SK[[#This Row],[GEREKLİ ADET]],2)=0,SK[[#This Row],[GEREKLİ ADET]],0)</f>
        <v>0</v>
      </c>
      <c r="H626" s="9">
        <f>SK[[#This Row],[SONDAN KALAN FİRE]]</f>
        <v>0</v>
      </c>
    </row>
    <row r="627" spans="1:8" x14ac:dyDescent="0.3">
      <c r="A627" s="12">
        <f>SK[[#This Row],[TARİH]]</f>
        <v>0</v>
      </c>
      <c r="B627" s="9">
        <f>SK[[#This Row],[TÜR]]</f>
        <v>0</v>
      </c>
      <c r="C627" s="9">
        <f>SK[[#This Row],[MALZEME ]]</f>
        <v>0</v>
      </c>
      <c r="D627" s="9">
        <f>SK[[#This Row],[KALİTE]]</f>
        <v>0</v>
      </c>
      <c r="E627" s="11">
        <f>SK[[#This Row],[FİRE]]</f>
        <v>0</v>
      </c>
      <c r="F627" s="11">
        <f>SK[[#This Row],[EŞİT FİRE]]</f>
        <v>0</v>
      </c>
      <c r="G627" s="9">
        <f>IF(MOD(SK[[#This Row],[GEREKLİ ADET]],2)=0,SK[[#This Row],[GEREKLİ ADET]],0)</f>
        <v>0</v>
      </c>
      <c r="H627" s="9">
        <f>SK[[#This Row],[SONDAN KALAN FİRE]]</f>
        <v>0</v>
      </c>
    </row>
    <row r="628" spans="1:8" x14ac:dyDescent="0.3">
      <c r="A628" s="12">
        <f>SK[[#This Row],[TARİH]]</f>
        <v>0</v>
      </c>
      <c r="B628" s="9">
        <f>SK[[#This Row],[TÜR]]</f>
        <v>0</v>
      </c>
      <c r="C628" s="9">
        <f>SK[[#This Row],[MALZEME ]]</f>
        <v>0</v>
      </c>
      <c r="D628" s="9">
        <f>SK[[#This Row],[KALİTE]]</f>
        <v>0</v>
      </c>
      <c r="E628" s="11">
        <f>SK[[#This Row],[FİRE]]</f>
        <v>0</v>
      </c>
      <c r="F628" s="11">
        <f>SK[[#This Row],[EŞİT FİRE]]</f>
        <v>0</v>
      </c>
      <c r="G628" s="9">
        <f>IF(MOD(SK[[#This Row],[GEREKLİ ADET]],2)=0,SK[[#This Row],[GEREKLİ ADET]],0)</f>
        <v>0</v>
      </c>
      <c r="H628" s="9">
        <f>SK[[#This Row],[SONDAN KALAN FİRE]]</f>
        <v>0</v>
      </c>
    </row>
    <row r="629" spans="1:8" x14ac:dyDescent="0.3">
      <c r="A629" s="12">
        <f>SK[[#This Row],[TARİH]]</f>
        <v>0</v>
      </c>
      <c r="B629" s="9">
        <f>SK[[#This Row],[TÜR]]</f>
        <v>0</v>
      </c>
      <c r="C629" s="9">
        <f>SK[[#This Row],[MALZEME ]]</f>
        <v>0</v>
      </c>
      <c r="D629" s="9">
        <f>SK[[#This Row],[KALİTE]]</f>
        <v>0</v>
      </c>
      <c r="E629" s="11">
        <f>SK[[#This Row],[FİRE]]</f>
        <v>0</v>
      </c>
      <c r="F629" s="11">
        <f>SK[[#This Row],[EŞİT FİRE]]</f>
        <v>0</v>
      </c>
      <c r="G629" s="9">
        <f>IF(MOD(SK[[#This Row],[GEREKLİ ADET]],2)=0,SK[[#This Row],[GEREKLİ ADET]],0)</f>
        <v>0</v>
      </c>
      <c r="H629" s="9">
        <f>SK[[#This Row],[SONDAN KALAN FİRE]]</f>
        <v>0</v>
      </c>
    </row>
    <row r="630" spans="1:8" x14ac:dyDescent="0.3">
      <c r="A630" s="12">
        <f>SK[[#This Row],[TARİH]]</f>
        <v>0</v>
      </c>
      <c r="B630" s="9">
        <f>SK[[#This Row],[TÜR]]</f>
        <v>0</v>
      </c>
      <c r="C630" s="9">
        <f>SK[[#This Row],[MALZEME ]]</f>
        <v>0</v>
      </c>
      <c r="D630" s="9">
        <f>SK[[#This Row],[KALİTE]]</f>
        <v>0</v>
      </c>
      <c r="E630" s="11">
        <f>SK[[#This Row],[FİRE]]</f>
        <v>0</v>
      </c>
      <c r="F630" s="11">
        <f>SK[[#This Row],[EŞİT FİRE]]</f>
        <v>0</v>
      </c>
      <c r="G630" s="9">
        <f>IF(MOD(SK[[#This Row],[GEREKLİ ADET]],2)=0,SK[[#This Row],[GEREKLİ ADET]],0)</f>
        <v>0</v>
      </c>
      <c r="H630" s="9">
        <f>SK[[#This Row],[SONDAN KALAN FİRE]]</f>
        <v>0</v>
      </c>
    </row>
    <row r="631" spans="1:8" x14ac:dyDescent="0.3">
      <c r="A631" s="12">
        <f>SK[[#This Row],[TARİH]]</f>
        <v>0</v>
      </c>
      <c r="B631" s="9">
        <f>SK[[#This Row],[TÜR]]</f>
        <v>0</v>
      </c>
      <c r="C631" s="9">
        <f>SK[[#This Row],[MALZEME ]]</f>
        <v>0</v>
      </c>
      <c r="D631" s="9">
        <f>SK[[#This Row],[KALİTE]]</f>
        <v>0</v>
      </c>
      <c r="E631" s="11">
        <f>SK[[#This Row],[FİRE]]</f>
        <v>0</v>
      </c>
      <c r="F631" s="11">
        <f>SK[[#This Row],[EŞİT FİRE]]</f>
        <v>0</v>
      </c>
      <c r="G631" s="9">
        <f>IF(MOD(SK[[#This Row],[GEREKLİ ADET]],2)=0,SK[[#This Row],[GEREKLİ ADET]],0)</f>
        <v>0</v>
      </c>
      <c r="H631" s="9">
        <f>SK[[#This Row],[SONDAN KALAN FİRE]]</f>
        <v>0</v>
      </c>
    </row>
    <row r="632" spans="1:8" x14ac:dyDescent="0.3">
      <c r="A632" s="12">
        <f>SK[[#This Row],[TARİH]]</f>
        <v>0</v>
      </c>
      <c r="B632" s="9">
        <f>SK[[#This Row],[TÜR]]</f>
        <v>0</v>
      </c>
      <c r="C632" s="9">
        <f>SK[[#This Row],[MALZEME ]]</f>
        <v>0</v>
      </c>
      <c r="D632" s="9">
        <f>SK[[#This Row],[KALİTE]]</f>
        <v>0</v>
      </c>
      <c r="E632" s="11">
        <f>SK[[#This Row],[FİRE]]</f>
        <v>0</v>
      </c>
      <c r="F632" s="11">
        <f>SK[[#This Row],[EŞİT FİRE]]</f>
        <v>0</v>
      </c>
      <c r="G632" s="9">
        <f>IF(MOD(SK[[#This Row],[GEREKLİ ADET]],2)=0,SK[[#This Row],[GEREKLİ ADET]],0)</f>
        <v>0</v>
      </c>
      <c r="H632" s="9">
        <f>SK[[#This Row],[SONDAN KALAN FİRE]]</f>
        <v>0</v>
      </c>
    </row>
    <row r="633" spans="1:8" x14ac:dyDescent="0.3">
      <c r="A633" s="12">
        <f>SK[[#This Row],[TARİH]]</f>
        <v>0</v>
      </c>
      <c r="B633" s="9">
        <f>SK[[#This Row],[TÜR]]</f>
        <v>0</v>
      </c>
      <c r="C633" s="9">
        <f>SK[[#This Row],[MALZEME ]]</f>
        <v>0</v>
      </c>
      <c r="D633" s="9">
        <f>SK[[#This Row],[KALİTE]]</f>
        <v>0</v>
      </c>
      <c r="E633" s="11">
        <f>SK[[#This Row],[FİRE]]</f>
        <v>0</v>
      </c>
      <c r="F633" s="11">
        <f>SK[[#This Row],[EŞİT FİRE]]</f>
        <v>0</v>
      </c>
      <c r="G633" s="9">
        <f>IF(MOD(SK[[#This Row],[GEREKLİ ADET]],2)=0,SK[[#This Row],[GEREKLİ ADET]],0)</f>
        <v>0</v>
      </c>
      <c r="H633" s="9">
        <f>SK[[#This Row],[SONDAN KALAN FİRE]]</f>
        <v>0</v>
      </c>
    </row>
    <row r="634" spans="1:8" x14ac:dyDescent="0.3">
      <c r="A634" s="12">
        <f>SK[[#This Row],[TARİH]]</f>
        <v>0</v>
      </c>
      <c r="B634" s="9">
        <f>SK[[#This Row],[TÜR]]</f>
        <v>0</v>
      </c>
      <c r="C634" s="9">
        <f>SK[[#This Row],[MALZEME ]]</f>
        <v>0</v>
      </c>
      <c r="D634" s="9">
        <f>SK[[#This Row],[KALİTE]]</f>
        <v>0</v>
      </c>
      <c r="E634" s="11">
        <f>SK[[#This Row],[FİRE]]</f>
        <v>0</v>
      </c>
      <c r="F634" s="11">
        <f>SK[[#This Row],[EŞİT FİRE]]</f>
        <v>0</v>
      </c>
      <c r="G634" s="9">
        <f>IF(MOD(SK[[#This Row],[GEREKLİ ADET]],2)=0,SK[[#This Row],[GEREKLİ ADET]],0)</f>
        <v>0</v>
      </c>
      <c r="H634" s="9">
        <f>SK[[#This Row],[SONDAN KALAN FİRE]]</f>
        <v>0</v>
      </c>
    </row>
    <row r="635" spans="1:8" x14ac:dyDescent="0.3">
      <c r="A635" s="12">
        <f>SK[[#This Row],[TARİH]]</f>
        <v>0</v>
      </c>
      <c r="B635" s="9">
        <f>SK[[#This Row],[TÜR]]</f>
        <v>0</v>
      </c>
      <c r="C635" s="9">
        <f>SK[[#This Row],[MALZEME ]]</f>
        <v>0</v>
      </c>
      <c r="D635" s="9">
        <f>SK[[#This Row],[KALİTE]]</f>
        <v>0</v>
      </c>
      <c r="E635" s="11">
        <f>SK[[#This Row],[FİRE]]</f>
        <v>0</v>
      </c>
      <c r="F635" s="11">
        <f>SK[[#This Row],[EŞİT FİRE]]</f>
        <v>0</v>
      </c>
      <c r="G635" s="9">
        <f>IF(MOD(SK[[#This Row],[GEREKLİ ADET]],2)=0,SK[[#This Row],[GEREKLİ ADET]],0)</f>
        <v>0</v>
      </c>
      <c r="H635" s="9">
        <f>SK[[#This Row],[SONDAN KALAN FİRE]]</f>
        <v>0</v>
      </c>
    </row>
    <row r="636" spans="1:8" x14ac:dyDescent="0.3">
      <c r="A636" s="12">
        <f>SK[[#This Row],[TARİH]]</f>
        <v>0</v>
      </c>
      <c r="B636" s="9">
        <f>SK[[#This Row],[TÜR]]</f>
        <v>0</v>
      </c>
      <c r="C636" s="9">
        <f>SK[[#This Row],[MALZEME ]]</f>
        <v>0</v>
      </c>
      <c r="D636" s="9">
        <f>SK[[#This Row],[KALİTE]]</f>
        <v>0</v>
      </c>
      <c r="E636" s="11">
        <f>SK[[#This Row],[FİRE]]</f>
        <v>0</v>
      </c>
      <c r="F636" s="11">
        <f>SK[[#This Row],[EŞİT FİRE]]</f>
        <v>0</v>
      </c>
      <c r="G636" s="9">
        <f>IF(MOD(SK[[#This Row],[GEREKLİ ADET]],2)=0,SK[[#This Row],[GEREKLİ ADET]],0)</f>
        <v>0</v>
      </c>
      <c r="H636" s="9">
        <f>SK[[#This Row],[SONDAN KALAN FİRE]]</f>
        <v>0</v>
      </c>
    </row>
    <row r="637" spans="1:8" x14ac:dyDescent="0.3">
      <c r="A637" s="12">
        <f>SK[[#This Row],[TARİH]]</f>
        <v>0</v>
      </c>
      <c r="B637" s="9">
        <f>SK[[#This Row],[TÜR]]</f>
        <v>0</v>
      </c>
      <c r="C637" s="9">
        <f>SK[[#This Row],[MALZEME ]]</f>
        <v>0</v>
      </c>
      <c r="D637" s="9">
        <f>SK[[#This Row],[KALİTE]]</f>
        <v>0</v>
      </c>
      <c r="E637" s="11">
        <f>SK[[#This Row],[FİRE]]</f>
        <v>0</v>
      </c>
      <c r="F637" s="11">
        <f>SK[[#This Row],[EŞİT FİRE]]</f>
        <v>0</v>
      </c>
      <c r="G637" s="9">
        <f>IF(MOD(SK[[#This Row],[GEREKLİ ADET]],2)=0,SK[[#This Row],[GEREKLİ ADET]],0)</f>
        <v>0</v>
      </c>
      <c r="H637" s="9">
        <f>SK[[#This Row],[SONDAN KALAN FİRE]]</f>
        <v>0</v>
      </c>
    </row>
    <row r="638" spans="1:8" x14ac:dyDescent="0.3">
      <c r="A638" s="12">
        <f>SK[[#This Row],[TARİH]]</f>
        <v>0</v>
      </c>
      <c r="B638" s="9">
        <f>SK[[#This Row],[TÜR]]</f>
        <v>0</v>
      </c>
      <c r="C638" s="9">
        <f>SK[[#This Row],[MALZEME ]]</f>
        <v>0</v>
      </c>
      <c r="D638" s="9">
        <f>SK[[#This Row],[KALİTE]]</f>
        <v>0</v>
      </c>
      <c r="E638" s="11">
        <f>SK[[#This Row],[FİRE]]</f>
        <v>0</v>
      </c>
      <c r="F638" s="11">
        <f>SK[[#This Row],[EŞİT FİRE]]</f>
        <v>0</v>
      </c>
      <c r="G638" s="9">
        <f>IF(MOD(SK[[#This Row],[GEREKLİ ADET]],2)=0,SK[[#This Row],[GEREKLİ ADET]],0)</f>
        <v>0</v>
      </c>
      <c r="H638" s="9">
        <f>SK[[#This Row],[SONDAN KALAN FİRE]]</f>
        <v>0</v>
      </c>
    </row>
    <row r="639" spans="1:8" x14ac:dyDescent="0.3">
      <c r="A639" s="12">
        <f>SK[[#This Row],[TARİH]]</f>
        <v>0</v>
      </c>
      <c r="B639" s="9">
        <f>SK[[#This Row],[TÜR]]</f>
        <v>0</v>
      </c>
      <c r="C639" s="9">
        <f>SK[[#This Row],[MALZEME ]]</f>
        <v>0</v>
      </c>
      <c r="D639" s="9">
        <f>SK[[#This Row],[KALİTE]]</f>
        <v>0</v>
      </c>
      <c r="E639" s="11">
        <f>SK[[#This Row],[FİRE]]</f>
        <v>0</v>
      </c>
      <c r="F639" s="11">
        <f>SK[[#This Row],[EŞİT FİRE]]</f>
        <v>0</v>
      </c>
      <c r="G639" s="9">
        <f>IF(MOD(SK[[#This Row],[GEREKLİ ADET]],2)=0,SK[[#This Row],[GEREKLİ ADET]],0)</f>
        <v>0</v>
      </c>
      <c r="H639" s="9">
        <f>SK[[#This Row],[SONDAN KALAN FİRE]]</f>
        <v>0</v>
      </c>
    </row>
    <row r="640" spans="1:8" x14ac:dyDescent="0.3">
      <c r="A640" s="12">
        <f>SK[[#This Row],[TARİH]]</f>
        <v>0</v>
      </c>
      <c r="B640" s="9">
        <f>SK[[#This Row],[TÜR]]</f>
        <v>0</v>
      </c>
      <c r="C640" s="9">
        <f>SK[[#This Row],[MALZEME ]]</f>
        <v>0</v>
      </c>
      <c r="D640" s="9">
        <f>SK[[#This Row],[KALİTE]]</f>
        <v>0</v>
      </c>
      <c r="E640" s="11">
        <f>SK[[#This Row],[FİRE]]</f>
        <v>0</v>
      </c>
      <c r="F640" s="11">
        <f>SK[[#This Row],[EŞİT FİRE]]</f>
        <v>0</v>
      </c>
      <c r="G640" s="9">
        <f>IF(MOD(SK[[#This Row],[GEREKLİ ADET]],2)=0,SK[[#This Row],[GEREKLİ ADET]],0)</f>
        <v>0</v>
      </c>
      <c r="H640" s="9">
        <f>SK[[#This Row],[SONDAN KALAN FİRE]]</f>
        <v>0</v>
      </c>
    </row>
    <row r="641" spans="1:8" x14ac:dyDescent="0.3">
      <c r="A641" s="12">
        <f>SK[[#This Row],[TARİH]]</f>
        <v>0</v>
      </c>
      <c r="B641" s="9">
        <f>SK[[#This Row],[TÜR]]</f>
        <v>0</v>
      </c>
      <c r="C641" s="9">
        <f>SK[[#This Row],[MALZEME ]]</f>
        <v>0</v>
      </c>
      <c r="D641" s="9">
        <f>SK[[#This Row],[KALİTE]]</f>
        <v>0</v>
      </c>
      <c r="E641" s="11">
        <f>SK[[#This Row],[FİRE]]</f>
        <v>0</v>
      </c>
      <c r="F641" s="11">
        <f>SK[[#This Row],[EŞİT FİRE]]</f>
        <v>0</v>
      </c>
      <c r="G641" s="9">
        <f>IF(MOD(SK[[#This Row],[GEREKLİ ADET]],2)=0,SK[[#This Row],[GEREKLİ ADET]],0)</f>
        <v>0</v>
      </c>
      <c r="H641" s="9">
        <f>SK[[#This Row],[SONDAN KALAN FİRE]]</f>
        <v>0</v>
      </c>
    </row>
    <row r="642" spans="1:8" x14ac:dyDescent="0.3">
      <c r="A642" s="12">
        <f>SK[[#This Row],[TARİH]]</f>
        <v>0</v>
      </c>
      <c r="B642" s="9">
        <f>SK[[#This Row],[TÜR]]</f>
        <v>0</v>
      </c>
      <c r="C642" s="9">
        <f>SK[[#This Row],[MALZEME ]]</f>
        <v>0</v>
      </c>
      <c r="D642" s="9">
        <f>SK[[#This Row],[KALİTE]]</f>
        <v>0</v>
      </c>
      <c r="E642" s="11">
        <f>SK[[#This Row],[FİRE]]</f>
        <v>0</v>
      </c>
      <c r="F642" s="11">
        <f>SK[[#This Row],[EŞİT FİRE]]</f>
        <v>0</v>
      </c>
      <c r="G642" s="9">
        <f>IF(MOD(SK[[#This Row],[GEREKLİ ADET]],2)=0,SK[[#This Row],[GEREKLİ ADET]],0)</f>
        <v>0</v>
      </c>
      <c r="H642" s="9">
        <f>SK[[#This Row],[SONDAN KALAN FİRE]]</f>
        <v>0</v>
      </c>
    </row>
    <row r="643" spans="1:8" x14ac:dyDescent="0.3">
      <c r="A643" s="12">
        <f>SK[[#This Row],[TARİH]]</f>
        <v>0</v>
      </c>
      <c r="B643" s="9">
        <f>SK[[#This Row],[TÜR]]</f>
        <v>0</v>
      </c>
      <c r="C643" s="9">
        <f>SK[[#This Row],[MALZEME ]]</f>
        <v>0</v>
      </c>
      <c r="D643" s="9">
        <f>SK[[#This Row],[KALİTE]]</f>
        <v>0</v>
      </c>
      <c r="E643" s="11">
        <f>SK[[#This Row],[FİRE]]</f>
        <v>0</v>
      </c>
      <c r="F643" s="11">
        <f>SK[[#This Row],[EŞİT FİRE]]</f>
        <v>0</v>
      </c>
      <c r="G643" s="9">
        <f>IF(MOD(SK[[#This Row],[GEREKLİ ADET]],2)=0,SK[[#This Row],[GEREKLİ ADET]],0)</f>
        <v>0</v>
      </c>
      <c r="H643" s="9">
        <f>SK[[#This Row],[SONDAN KALAN FİRE]]</f>
        <v>0</v>
      </c>
    </row>
    <row r="644" spans="1:8" x14ac:dyDescent="0.3">
      <c r="A644" s="12">
        <f>SK[[#This Row],[TARİH]]</f>
        <v>0</v>
      </c>
      <c r="B644" s="9">
        <f>SK[[#This Row],[TÜR]]</f>
        <v>0</v>
      </c>
      <c r="C644" s="9">
        <f>SK[[#This Row],[MALZEME ]]</f>
        <v>0</v>
      </c>
      <c r="D644" s="9">
        <f>SK[[#This Row],[KALİTE]]</f>
        <v>0</v>
      </c>
      <c r="E644" s="11">
        <f>SK[[#This Row],[FİRE]]</f>
        <v>0</v>
      </c>
      <c r="F644" s="11">
        <f>SK[[#This Row],[EŞİT FİRE]]</f>
        <v>0</v>
      </c>
      <c r="G644" s="9">
        <f>IF(MOD(SK[[#This Row],[GEREKLİ ADET]],2)=0,SK[[#This Row],[GEREKLİ ADET]],0)</f>
        <v>0</v>
      </c>
      <c r="H644" s="9">
        <f>SK[[#This Row],[SONDAN KALAN FİRE]]</f>
        <v>0</v>
      </c>
    </row>
    <row r="645" spans="1:8" x14ac:dyDescent="0.3">
      <c r="A645" s="12">
        <f>SK[[#This Row],[TARİH]]</f>
        <v>0</v>
      </c>
      <c r="B645" s="9">
        <f>SK[[#This Row],[TÜR]]</f>
        <v>0</v>
      </c>
      <c r="C645" s="9">
        <f>SK[[#This Row],[MALZEME ]]</f>
        <v>0</v>
      </c>
      <c r="D645" s="9">
        <f>SK[[#This Row],[KALİTE]]</f>
        <v>0</v>
      </c>
      <c r="E645" s="11">
        <f>SK[[#This Row],[FİRE]]</f>
        <v>0</v>
      </c>
      <c r="F645" s="11">
        <f>SK[[#This Row],[EŞİT FİRE]]</f>
        <v>0</v>
      </c>
      <c r="G645" s="9">
        <f>IF(MOD(SK[[#This Row],[GEREKLİ ADET]],2)=0,SK[[#This Row],[GEREKLİ ADET]],0)</f>
        <v>0</v>
      </c>
      <c r="H645" s="9">
        <f>SK[[#This Row],[SONDAN KALAN FİRE]]</f>
        <v>0</v>
      </c>
    </row>
    <row r="646" spans="1:8" x14ac:dyDescent="0.3">
      <c r="A646" s="12">
        <f>SK[[#This Row],[TARİH]]</f>
        <v>0</v>
      </c>
      <c r="B646" s="9">
        <f>SK[[#This Row],[TÜR]]</f>
        <v>0</v>
      </c>
      <c r="C646" s="9">
        <f>SK[[#This Row],[MALZEME ]]</f>
        <v>0</v>
      </c>
      <c r="D646" s="9">
        <f>SK[[#This Row],[KALİTE]]</f>
        <v>0</v>
      </c>
      <c r="E646" s="11">
        <f>SK[[#This Row],[FİRE]]</f>
        <v>0</v>
      </c>
      <c r="F646" s="11">
        <f>SK[[#This Row],[EŞİT FİRE]]</f>
        <v>0</v>
      </c>
      <c r="G646" s="9">
        <f>IF(MOD(SK[[#This Row],[GEREKLİ ADET]],2)=0,SK[[#This Row],[GEREKLİ ADET]],0)</f>
        <v>0</v>
      </c>
      <c r="H646" s="9">
        <f>SK[[#This Row],[SONDAN KALAN FİRE]]</f>
        <v>0</v>
      </c>
    </row>
    <row r="647" spans="1:8" x14ac:dyDescent="0.3">
      <c r="A647" s="12">
        <f>SK[[#This Row],[TARİH]]</f>
        <v>0</v>
      </c>
      <c r="B647" s="9">
        <f>SK[[#This Row],[TÜR]]</f>
        <v>0</v>
      </c>
      <c r="C647" s="9">
        <f>SK[[#This Row],[MALZEME ]]</f>
        <v>0</v>
      </c>
      <c r="D647" s="9">
        <f>SK[[#This Row],[KALİTE]]</f>
        <v>0</v>
      </c>
      <c r="E647" s="11">
        <f>SK[[#This Row],[FİRE]]</f>
        <v>0</v>
      </c>
      <c r="F647" s="11">
        <f>SK[[#This Row],[EŞİT FİRE]]</f>
        <v>0</v>
      </c>
      <c r="G647" s="9">
        <f>IF(MOD(SK[[#This Row],[GEREKLİ ADET]],2)=0,SK[[#This Row],[GEREKLİ ADET]],0)</f>
        <v>0</v>
      </c>
      <c r="H647" s="9">
        <f>SK[[#This Row],[SONDAN KALAN FİRE]]</f>
        <v>0</v>
      </c>
    </row>
    <row r="648" spans="1:8" x14ac:dyDescent="0.3">
      <c r="A648" s="12">
        <f>SK[[#This Row],[TARİH]]</f>
        <v>0</v>
      </c>
      <c r="B648" s="9">
        <f>SK[[#This Row],[TÜR]]</f>
        <v>0</v>
      </c>
      <c r="C648" s="9">
        <f>SK[[#This Row],[MALZEME ]]</f>
        <v>0</v>
      </c>
      <c r="D648" s="9">
        <f>SK[[#This Row],[KALİTE]]</f>
        <v>0</v>
      </c>
      <c r="E648" s="11">
        <f>SK[[#This Row],[FİRE]]</f>
        <v>0</v>
      </c>
      <c r="F648" s="11">
        <f>SK[[#This Row],[EŞİT FİRE]]</f>
        <v>0</v>
      </c>
      <c r="G648" s="9">
        <f>IF(MOD(SK[[#This Row],[GEREKLİ ADET]],2)=0,SK[[#This Row],[GEREKLİ ADET]],0)</f>
        <v>0</v>
      </c>
      <c r="H648" s="9">
        <f>SK[[#This Row],[SONDAN KALAN FİRE]]</f>
        <v>0</v>
      </c>
    </row>
    <row r="649" spans="1:8" x14ac:dyDescent="0.3">
      <c r="A649" s="12">
        <f>SK[[#This Row],[TARİH]]</f>
        <v>0</v>
      </c>
      <c r="B649" s="9">
        <f>SK[[#This Row],[TÜR]]</f>
        <v>0</v>
      </c>
      <c r="C649" s="9">
        <f>SK[[#This Row],[MALZEME ]]</f>
        <v>0</v>
      </c>
      <c r="D649" s="9">
        <f>SK[[#This Row],[KALİTE]]</f>
        <v>0</v>
      </c>
      <c r="E649" s="11">
        <f>SK[[#This Row],[FİRE]]</f>
        <v>0</v>
      </c>
      <c r="F649" s="11">
        <f>SK[[#This Row],[EŞİT FİRE]]</f>
        <v>0</v>
      </c>
      <c r="G649" s="9">
        <f>IF(MOD(SK[[#This Row],[GEREKLİ ADET]],2)=0,SK[[#This Row],[GEREKLİ ADET]],0)</f>
        <v>0</v>
      </c>
      <c r="H649" s="9">
        <f>SK[[#This Row],[SONDAN KALAN FİRE]]</f>
        <v>0</v>
      </c>
    </row>
    <row r="650" spans="1:8" x14ac:dyDescent="0.3">
      <c r="A650" s="12">
        <f>SK[[#This Row],[TARİH]]</f>
        <v>0</v>
      </c>
      <c r="B650" s="9">
        <f>SK[[#This Row],[TÜR]]</f>
        <v>0</v>
      </c>
      <c r="C650" s="9">
        <f>SK[[#This Row],[MALZEME ]]</f>
        <v>0</v>
      </c>
      <c r="D650" s="9">
        <f>SK[[#This Row],[KALİTE]]</f>
        <v>0</v>
      </c>
      <c r="E650" s="11">
        <f>SK[[#This Row],[FİRE]]</f>
        <v>0</v>
      </c>
      <c r="F650" s="11">
        <f>SK[[#This Row],[EŞİT FİRE]]</f>
        <v>0</v>
      </c>
      <c r="G650" s="9">
        <f>IF(MOD(SK[[#This Row],[GEREKLİ ADET]],2)=0,SK[[#This Row],[GEREKLİ ADET]],0)</f>
        <v>0</v>
      </c>
      <c r="H650" s="9">
        <f>SK[[#This Row],[SONDAN KALAN FİRE]]</f>
        <v>0</v>
      </c>
    </row>
    <row r="651" spans="1:8" x14ac:dyDescent="0.3">
      <c r="A651" s="12">
        <f>SK[[#This Row],[TARİH]]</f>
        <v>0</v>
      </c>
      <c r="B651" s="9">
        <f>SK[[#This Row],[TÜR]]</f>
        <v>0</v>
      </c>
      <c r="C651" s="9">
        <f>SK[[#This Row],[MALZEME ]]</f>
        <v>0</v>
      </c>
      <c r="D651" s="9">
        <f>SK[[#This Row],[KALİTE]]</f>
        <v>0</v>
      </c>
      <c r="E651" s="11">
        <f>SK[[#This Row],[FİRE]]</f>
        <v>0</v>
      </c>
      <c r="F651" s="11">
        <f>SK[[#This Row],[EŞİT FİRE]]</f>
        <v>0</v>
      </c>
      <c r="G651" s="9">
        <f>IF(MOD(SK[[#This Row],[GEREKLİ ADET]],2)=0,SK[[#This Row],[GEREKLİ ADET]],0)</f>
        <v>0</v>
      </c>
      <c r="H651" s="9">
        <f>SK[[#This Row],[SONDAN KALAN FİRE]]</f>
        <v>0</v>
      </c>
    </row>
    <row r="652" spans="1:8" x14ac:dyDescent="0.3">
      <c r="A652" s="12">
        <f>SK[[#This Row],[TARİH]]</f>
        <v>0</v>
      </c>
      <c r="B652" s="9">
        <f>SK[[#This Row],[TÜR]]</f>
        <v>0</v>
      </c>
      <c r="C652" s="9">
        <f>SK[[#This Row],[MALZEME ]]</f>
        <v>0</v>
      </c>
      <c r="D652" s="9">
        <f>SK[[#This Row],[KALİTE]]</f>
        <v>0</v>
      </c>
      <c r="E652" s="11">
        <f>SK[[#This Row],[FİRE]]</f>
        <v>0</v>
      </c>
      <c r="F652" s="11">
        <f>SK[[#This Row],[EŞİT FİRE]]</f>
        <v>0</v>
      </c>
      <c r="G652" s="9">
        <f>IF(MOD(SK[[#This Row],[GEREKLİ ADET]],2)=0,SK[[#This Row],[GEREKLİ ADET]],0)</f>
        <v>0</v>
      </c>
      <c r="H652" s="9">
        <f>SK[[#This Row],[SONDAN KALAN FİRE]]</f>
        <v>0</v>
      </c>
    </row>
    <row r="653" spans="1:8" x14ac:dyDescent="0.3">
      <c r="A653" s="12">
        <f>SK[[#This Row],[TARİH]]</f>
        <v>0</v>
      </c>
      <c r="B653" s="9">
        <f>SK[[#This Row],[TÜR]]</f>
        <v>0</v>
      </c>
      <c r="C653" s="9">
        <f>SK[[#This Row],[MALZEME ]]</f>
        <v>0</v>
      </c>
      <c r="D653" s="9">
        <f>SK[[#This Row],[KALİTE]]</f>
        <v>0</v>
      </c>
      <c r="E653" s="11">
        <f>SK[[#This Row],[FİRE]]</f>
        <v>0</v>
      </c>
      <c r="F653" s="11">
        <f>SK[[#This Row],[EŞİT FİRE]]</f>
        <v>0</v>
      </c>
      <c r="G653" s="9">
        <f>IF(MOD(SK[[#This Row],[GEREKLİ ADET]],2)=0,SK[[#This Row],[GEREKLİ ADET]],0)</f>
        <v>0</v>
      </c>
      <c r="H653" s="9">
        <f>SK[[#This Row],[SONDAN KALAN FİRE]]</f>
        <v>0</v>
      </c>
    </row>
    <row r="654" spans="1:8" x14ac:dyDescent="0.3">
      <c r="A654" s="12">
        <f>SK[[#This Row],[TARİH]]</f>
        <v>0</v>
      </c>
      <c r="B654" s="9">
        <f>SK[[#This Row],[TÜR]]</f>
        <v>0</v>
      </c>
      <c r="C654" s="9">
        <f>SK[[#This Row],[MALZEME ]]</f>
        <v>0</v>
      </c>
      <c r="D654" s="9">
        <f>SK[[#This Row],[KALİTE]]</f>
        <v>0</v>
      </c>
      <c r="E654" s="11">
        <f>SK[[#This Row],[FİRE]]</f>
        <v>0</v>
      </c>
      <c r="F654" s="11">
        <f>SK[[#This Row],[EŞİT FİRE]]</f>
        <v>0</v>
      </c>
      <c r="G654" s="9">
        <f>IF(MOD(SK[[#This Row],[GEREKLİ ADET]],2)=0,SK[[#This Row],[GEREKLİ ADET]],0)</f>
        <v>0</v>
      </c>
      <c r="H654" s="9">
        <f>SK[[#This Row],[SONDAN KALAN FİRE]]</f>
        <v>0</v>
      </c>
    </row>
    <row r="655" spans="1:8" x14ac:dyDescent="0.3">
      <c r="A655" s="12">
        <f>SK[[#This Row],[TARİH]]</f>
        <v>0</v>
      </c>
      <c r="B655" s="9">
        <f>SK[[#This Row],[TÜR]]</f>
        <v>0</v>
      </c>
      <c r="C655" s="9">
        <f>SK[[#This Row],[MALZEME ]]</f>
        <v>0</v>
      </c>
      <c r="D655" s="9">
        <f>SK[[#This Row],[KALİTE]]</f>
        <v>0</v>
      </c>
      <c r="E655" s="11">
        <f>SK[[#This Row],[FİRE]]</f>
        <v>0</v>
      </c>
      <c r="F655" s="11">
        <f>SK[[#This Row],[EŞİT FİRE]]</f>
        <v>0</v>
      </c>
      <c r="G655" s="9">
        <f>IF(MOD(SK[[#This Row],[GEREKLİ ADET]],2)=0,SK[[#This Row],[GEREKLİ ADET]],0)</f>
        <v>0</v>
      </c>
      <c r="H655" s="9">
        <f>SK[[#This Row],[SONDAN KALAN FİRE]]</f>
        <v>0</v>
      </c>
    </row>
    <row r="656" spans="1:8" x14ac:dyDescent="0.3">
      <c r="A656" s="12">
        <f>SK[[#This Row],[TARİH]]</f>
        <v>0</v>
      </c>
      <c r="B656" s="9">
        <f>SK[[#This Row],[TÜR]]</f>
        <v>0</v>
      </c>
      <c r="C656" s="9">
        <f>SK[[#This Row],[MALZEME ]]</f>
        <v>0</v>
      </c>
      <c r="D656" s="9">
        <f>SK[[#This Row],[KALİTE]]</f>
        <v>0</v>
      </c>
      <c r="E656" s="11">
        <f>SK[[#This Row],[FİRE]]</f>
        <v>0</v>
      </c>
      <c r="F656" s="11">
        <f>SK[[#This Row],[EŞİT FİRE]]</f>
        <v>0</v>
      </c>
      <c r="G656" s="9">
        <f>IF(MOD(SK[[#This Row],[GEREKLİ ADET]],2)=0,SK[[#This Row],[GEREKLİ ADET]],0)</f>
        <v>0</v>
      </c>
      <c r="H656" s="9">
        <f>SK[[#This Row],[SONDAN KALAN FİRE]]</f>
        <v>0</v>
      </c>
    </row>
    <row r="657" spans="1:8" x14ac:dyDescent="0.3">
      <c r="A657" s="12">
        <f>SK[[#This Row],[TARİH]]</f>
        <v>0</v>
      </c>
      <c r="B657" s="9">
        <f>SK[[#This Row],[TÜR]]</f>
        <v>0</v>
      </c>
      <c r="C657" s="9">
        <f>SK[[#This Row],[MALZEME ]]</f>
        <v>0</v>
      </c>
      <c r="D657" s="9">
        <f>SK[[#This Row],[KALİTE]]</f>
        <v>0</v>
      </c>
      <c r="E657" s="11">
        <f>SK[[#This Row],[FİRE]]</f>
        <v>0</v>
      </c>
      <c r="F657" s="11">
        <f>SK[[#This Row],[EŞİT FİRE]]</f>
        <v>0</v>
      </c>
      <c r="G657" s="9">
        <f>IF(MOD(SK[[#This Row],[GEREKLİ ADET]],2)=0,SK[[#This Row],[GEREKLİ ADET]],0)</f>
        <v>0</v>
      </c>
      <c r="H657" s="9">
        <f>SK[[#This Row],[SONDAN KALAN FİRE]]</f>
        <v>0</v>
      </c>
    </row>
    <row r="658" spans="1:8" x14ac:dyDescent="0.3">
      <c r="A658" s="12">
        <f>SK[[#This Row],[TARİH]]</f>
        <v>0</v>
      </c>
      <c r="B658" s="9">
        <f>SK[[#This Row],[TÜR]]</f>
        <v>0</v>
      </c>
      <c r="C658" s="9">
        <f>SK[[#This Row],[MALZEME ]]</f>
        <v>0</v>
      </c>
      <c r="D658" s="9">
        <f>SK[[#This Row],[KALİTE]]</f>
        <v>0</v>
      </c>
      <c r="E658" s="11">
        <f>SK[[#This Row],[FİRE]]</f>
        <v>0</v>
      </c>
      <c r="F658" s="11">
        <f>SK[[#This Row],[EŞİT FİRE]]</f>
        <v>0</v>
      </c>
      <c r="G658" s="9">
        <f>IF(MOD(SK[[#This Row],[GEREKLİ ADET]],2)=0,SK[[#This Row],[GEREKLİ ADET]],0)</f>
        <v>0</v>
      </c>
      <c r="H658" s="9">
        <f>SK[[#This Row],[SONDAN KALAN FİRE]]</f>
        <v>0</v>
      </c>
    </row>
    <row r="659" spans="1:8" x14ac:dyDescent="0.3">
      <c r="A659" s="12">
        <f>SK[[#This Row],[TARİH]]</f>
        <v>0</v>
      </c>
      <c r="B659" s="9">
        <f>SK[[#This Row],[TÜR]]</f>
        <v>0</v>
      </c>
      <c r="C659" s="9">
        <f>SK[[#This Row],[MALZEME ]]</f>
        <v>0</v>
      </c>
      <c r="D659" s="9">
        <f>SK[[#This Row],[KALİTE]]</f>
        <v>0</v>
      </c>
      <c r="E659" s="11">
        <f>SK[[#This Row],[FİRE]]</f>
        <v>0</v>
      </c>
      <c r="F659" s="11">
        <f>SK[[#This Row],[EŞİT FİRE]]</f>
        <v>0</v>
      </c>
      <c r="G659" s="9">
        <f>IF(MOD(SK[[#This Row],[GEREKLİ ADET]],2)=0,SK[[#This Row],[GEREKLİ ADET]],0)</f>
        <v>0</v>
      </c>
      <c r="H659" s="9">
        <f>SK[[#This Row],[SONDAN KALAN FİRE]]</f>
        <v>0</v>
      </c>
    </row>
    <row r="660" spans="1:8" x14ac:dyDescent="0.3">
      <c r="A660" s="12">
        <f>SK[[#This Row],[TARİH]]</f>
        <v>0</v>
      </c>
      <c r="B660" s="9">
        <f>SK[[#This Row],[TÜR]]</f>
        <v>0</v>
      </c>
      <c r="C660" s="9">
        <f>SK[[#This Row],[MALZEME ]]</f>
        <v>0</v>
      </c>
      <c r="D660" s="9">
        <f>SK[[#This Row],[KALİTE]]</f>
        <v>0</v>
      </c>
      <c r="E660" s="11">
        <f>SK[[#This Row],[FİRE]]</f>
        <v>0</v>
      </c>
      <c r="F660" s="11">
        <f>SK[[#This Row],[EŞİT FİRE]]</f>
        <v>0</v>
      </c>
      <c r="G660" s="9">
        <f>IF(MOD(SK[[#This Row],[GEREKLİ ADET]],2)=0,SK[[#This Row],[GEREKLİ ADET]],0)</f>
        <v>0</v>
      </c>
      <c r="H660" s="9">
        <f>SK[[#This Row],[SONDAN KALAN FİRE]]</f>
        <v>0</v>
      </c>
    </row>
    <row r="661" spans="1:8" x14ac:dyDescent="0.3">
      <c r="A661" s="12">
        <f>SK[[#This Row],[TARİH]]</f>
        <v>0</v>
      </c>
      <c r="B661" s="9">
        <f>SK[[#This Row],[TÜR]]</f>
        <v>0</v>
      </c>
      <c r="C661" s="9">
        <f>SK[[#This Row],[MALZEME ]]</f>
        <v>0</v>
      </c>
      <c r="D661" s="9">
        <f>SK[[#This Row],[KALİTE]]</f>
        <v>0</v>
      </c>
      <c r="E661" s="11">
        <f>SK[[#This Row],[FİRE]]</f>
        <v>0</v>
      </c>
      <c r="F661" s="11">
        <f>SK[[#This Row],[EŞİT FİRE]]</f>
        <v>0</v>
      </c>
      <c r="G661" s="9">
        <f>IF(MOD(SK[[#This Row],[GEREKLİ ADET]],2)=0,SK[[#This Row],[GEREKLİ ADET]],0)</f>
        <v>0</v>
      </c>
      <c r="H661" s="9">
        <f>SK[[#This Row],[SONDAN KALAN FİRE]]</f>
        <v>0</v>
      </c>
    </row>
    <row r="662" spans="1:8" x14ac:dyDescent="0.3">
      <c r="A662" s="12">
        <f>SK[[#This Row],[TARİH]]</f>
        <v>0</v>
      </c>
      <c r="B662" s="9">
        <f>SK[[#This Row],[TÜR]]</f>
        <v>0</v>
      </c>
      <c r="C662" s="9">
        <f>SK[[#This Row],[MALZEME ]]</f>
        <v>0</v>
      </c>
      <c r="D662" s="9">
        <f>SK[[#This Row],[KALİTE]]</f>
        <v>0</v>
      </c>
      <c r="E662" s="11">
        <f>SK[[#This Row],[FİRE]]</f>
        <v>0</v>
      </c>
      <c r="F662" s="11">
        <f>SK[[#This Row],[EŞİT FİRE]]</f>
        <v>0</v>
      </c>
      <c r="G662" s="9">
        <f>IF(MOD(SK[[#This Row],[GEREKLİ ADET]],2)=0,SK[[#This Row],[GEREKLİ ADET]],0)</f>
        <v>0</v>
      </c>
      <c r="H662" s="9">
        <f>SK[[#This Row],[SONDAN KALAN FİRE]]</f>
        <v>0</v>
      </c>
    </row>
    <row r="663" spans="1:8" x14ac:dyDescent="0.3">
      <c r="A663" s="12">
        <f>SK[[#This Row],[TARİH]]</f>
        <v>0</v>
      </c>
      <c r="B663" s="9">
        <f>SK[[#This Row],[TÜR]]</f>
        <v>0</v>
      </c>
      <c r="C663" s="9">
        <f>SK[[#This Row],[MALZEME ]]</f>
        <v>0</v>
      </c>
      <c r="D663" s="9">
        <f>SK[[#This Row],[KALİTE]]</f>
        <v>0</v>
      </c>
      <c r="E663" s="11">
        <f>SK[[#This Row],[FİRE]]</f>
        <v>0</v>
      </c>
      <c r="F663" s="11">
        <f>SK[[#This Row],[EŞİT FİRE]]</f>
        <v>0</v>
      </c>
      <c r="G663" s="9">
        <f>IF(MOD(SK[[#This Row],[GEREKLİ ADET]],2)=0,SK[[#This Row],[GEREKLİ ADET]],0)</f>
        <v>0</v>
      </c>
      <c r="H663" s="9">
        <f>SK[[#This Row],[SONDAN KALAN FİRE]]</f>
        <v>0</v>
      </c>
    </row>
    <row r="664" spans="1:8" x14ac:dyDescent="0.3">
      <c r="A664" s="12">
        <f>SK[[#This Row],[TARİH]]</f>
        <v>0</v>
      </c>
      <c r="B664" s="9">
        <f>SK[[#This Row],[TÜR]]</f>
        <v>0</v>
      </c>
      <c r="C664" s="9">
        <f>SK[[#This Row],[MALZEME ]]</f>
        <v>0</v>
      </c>
      <c r="D664" s="9">
        <f>SK[[#This Row],[KALİTE]]</f>
        <v>0</v>
      </c>
      <c r="E664" s="11">
        <f>SK[[#This Row],[FİRE]]</f>
        <v>0</v>
      </c>
      <c r="F664" s="11">
        <f>SK[[#This Row],[EŞİT FİRE]]</f>
        <v>0</v>
      </c>
      <c r="G664" s="9">
        <f>IF(MOD(SK[[#This Row],[GEREKLİ ADET]],2)=0,SK[[#This Row],[GEREKLİ ADET]],0)</f>
        <v>0</v>
      </c>
      <c r="H664" s="9">
        <f>SK[[#This Row],[SONDAN KALAN FİRE]]</f>
        <v>0</v>
      </c>
    </row>
    <row r="665" spans="1:8" x14ac:dyDescent="0.3">
      <c r="A665" s="12">
        <f>SK[[#This Row],[TARİH]]</f>
        <v>0</v>
      </c>
      <c r="B665" s="9">
        <f>SK[[#This Row],[TÜR]]</f>
        <v>0</v>
      </c>
      <c r="C665" s="9">
        <f>SK[[#This Row],[MALZEME ]]</f>
        <v>0</v>
      </c>
      <c r="D665" s="9">
        <f>SK[[#This Row],[KALİTE]]</f>
        <v>0</v>
      </c>
      <c r="E665" s="11">
        <f>SK[[#This Row],[FİRE]]</f>
        <v>0</v>
      </c>
      <c r="F665" s="11">
        <f>SK[[#This Row],[EŞİT FİRE]]</f>
        <v>0</v>
      </c>
      <c r="G665" s="9">
        <f>IF(MOD(SK[[#This Row],[GEREKLİ ADET]],2)=0,SK[[#This Row],[GEREKLİ ADET]],0)</f>
        <v>0</v>
      </c>
      <c r="H665" s="9">
        <f>SK[[#This Row],[SONDAN KALAN FİRE]]</f>
        <v>0</v>
      </c>
    </row>
    <row r="666" spans="1:8" x14ac:dyDescent="0.3">
      <c r="A666" s="12">
        <f>SK[[#This Row],[TARİH]]</f>
        <v>0</v>
      </c>
      <c r="B666" s="9">
        <f>SK[[#This Row],[TÜR]]</f>
        <v>0</v>
      </c>
      <c r="C666" s="9">
        <f>SK[[#This Row],[MALZEME ]]</f>
        <v>0</v>
      </c>
      <c r="D666" s="9">
        <f>SK[[#This Row],[KALİTE]]</f>
        <v>0</v>
      </c>
      <c r="E666" s="11">
        <f>SK[[#This Row],[FİRE]]</f>
        <v>0</v>
      </c>
      <c r="F666" s="11">
        <f>SK[[#This Row],[EŞİT FİRE]]</f>
        <v>0</v>
      </c>
      <c r="G666" s="9">
        <f>IF(MOD(SK[[#This Row],[GEREKLİ ADET]],2)=0,SK[[#This Row],[GEREKLİ ADET]],0)</f>
        <v>0</v>
      </c>
      <c r="H666" s="9">
        <f>SK[[#This Row],[SONDAN KALAN FİRE]]</f>
        <v>0</v>
      </c>
    </row>
    <row r="667" spans="1:8" x14ac:dyDescent="0.3">
      <c r="A667" s="12">
        <f>SK[[#This Row],[TARİH]]</f>
        <v>0</v>
      </c>
      <c r="B667" s="9">
        <f>SK[[#This Row],[TÜR]]</f>
        <v>0</v>
      </c>
      <c r="C667" s="9">
        <f>SK[[#This Row],[MALZEME ]]</f>
        <v>0</v>
      </c>
      <c r="D667" s="9">
        <f>SK[[#This Row],[KALİTE]]</f>
        <v>0</v>
      </c>
      <c r="E667" s="11">
        <f>SK[[#This Row],[FİRE]]</f>
        <v>0</v>
      </c>
      <c r="F667" s="11">
        <f>SK[[#This Row],[EŞİT FİRE]]</f>
        <v>0</v>
      </c>
      <c r="G667" s="9">
        <f>IF(MOD(SK[[#This Row],[GEREKLİ ADET]],2)=0,SK[[#This Row],[GEREKLİ ADET]],0)</f>
        <v>0</v>
      </c>
      <c r="H667" s="9">
        <f>SK[[#This Row],[SONDAN KALAN FİRE]]</f>
        <v>0</v>
      </c>
    </row>
    <row r="668" spans="1:8" x14ac:dyDescent="0.3">
      <c r="A668" s="12">
        <f>SK[[#This Row],[TARİH]]</f>
        <v>0</v>
      </c>
      <c r="B668" s="9">
        <f>SK[[#This Row],[TÜR]]</f>
        <v>0</v>
      </c>
      <c r="C668" s="9">
        <f>SK[[#This Row],[MALZEME ]]</f>
        <v>0</v>
      </c>
      <c r="D668" s="9">
        <f>SK[[#This Row],[KALİTE]]</f>
        <v>0</v>
      </c>
      <c r="E668" s="11">
        <f>SK[[#This Row],[FİRE]]</f>
        <v>0</v>
      </c>
      <c r="F668" s="11">
        <f>SK[[#This Row],[EŞİT FİRE]]</f>
        <v>0</v>
      </c>
      <c r="G668" s="9">
        <f>IF(MOD(SK[[#This Row],[GEREKLİ ADET]],2)=0,SK[[#This Row],[GEREKLİ ADET]],0)</f>
        <v>0</v>
      </c>
      <c r="H668" s="9">
        <f>SK[[#This Row],[SONDAN KALAN FİRE]]</f>
        <v>0</v>
      </c>
    </row>
    <row r="669" spans="1:8" x14ac:dyDescent="0.3">
      <c r="A669" s="12">
        <f>SK[[#This Row],[TARİH]]</f>
        <v>0</v>
      </c>
      <c r="B669" s="9">
        <f>SK[[#This Row],[TÜR]]</f>
        <v>0</v>
      </c>
      <c r="C669" s="9">
        <f>SK[[#This Row],[MALZEME ]]</f>
        <v>0</v>
      </c>
      <c r="D669" s="9">
        <f>SK[[#This Row],[KALİTE]]</f>
        <v>0</v>
      </c>
      <c r="E669" s="11">
        <f>SK[[#This Row],[FİRE]]</f>
        <v>0</v>
      </c>
      <c r="F669" s="11">
        <f>SK[[#This Row],[EŞİT FİRE]]</f>
        <v>0</v>
      </c>
      <c r="G669" s="9">
        <f>IF(MOD(SK[[#This Row],[GEREKLİ ADET]],2)=0,SK[[#This Row],[GEREKLİ ADET]],0)</f>
        <v>0</v>
      </c>
      <c r="H669" s="9">
        <f>SK[[#This Row],[SONDAN KALAN FİRE]]</f>
        <v>0</v>
      </c>
    </row>
    <row r="670" spans="1:8" x14ac:dyDescent="0.3">
      <c r="A670" s="12">
        <f>SK[[#This Row],[TARİH]]</f>
        <v>0</v>
      </c>
      <c r="B670" s="9">
        <f>SK[[#This Row],[TÜR]]</f>
        <v>0</v>
      </c>
      <c r="C670" s="9">
        <f>SK[[#This Row],[MALZEME ]]</f>
        <v>0</v>
      </c>
      <c r="D670" s="9">
        <f>SK[[#This Row],[KALİTE]]</f>
        <v>0</v>
      </c>
      <c r="E670" s="11">
        <f>SK[[#This Row],[FİRE]]</f>
        <v>0</v>
      </c>
      <c r="F670" s="11">
        <f>SK[[#This Row],[EŞİT FİRE]]</f>
        <v>0</v>
      </c>
      <c r="G670" s="9">
        <f>IF(MOD(SK[[#This Row],[GEREKLİ ADET]],2)=0,SK[[#This Row],[GEREKLİ ADET]],0)</f>
        <v>0</v>
      </c>
      <c r="H670" s="9">
        <f>SK[[#This Row],[SONDAN KALAN FİRE]]</f>
        <v>0</v>
      </c>
    </row>
    <row r="671" spans="1:8" x14ac:dyDescent="0.3">
      <c r="A671" s="12">
        <f>SK[[#This Row],[TARİH]]</f>
        <v>0</v>
      </c>
      <c r="B671" s="9">
        <f>SK[[#This Row],[TÜR]]</f>
        <v>0</v>
      </c>
      <c r="C671" s="9">
        <f>SK[[#This Row],[MALZEME ]]</f>
        <v>0</v>
      </c>
      <c r="D671" s="9">
        <f>SK[[#This Row],[KALİTE]]</f>
        <v>0</v>
      </c>
      <c r="E671" s="11">
        <f>SK[[#This Row],[FİRE]]</f>
        <v>0</v>
      </c>
      <c r="F671" s="11">
        <f>SK[[#This Row],[EŞİT FİRE]]</f>
        <v>0</v>
      </c>
      <c r="G671" s="9">
        <f>IF(MOD(SK[[#This Row],[GEREKLİ ADET]],2)=0,SK[[#This Row],[GEREKLİ ADET]],0)</f>
        <v>0</v>
      </c>
      <c r="H671" s="9">
        <f>SK[[#This Row],[SONDAN KALAN FİRE]]</f>
        <v>0</v>
      </c>
    </row>
    <row r="672" spans="1:8" x14ac:dyDescent="0.3">
      <c r="A672" s="12">
        <f>SK[[#This Row],[TARİH]]</f>
        <v>0</v>
      </c>
      <c r="B672" s="9">
        <f>SK[[#This Row],[TÜR]]</f>
        <v>0</v>
      </c>
      <c r="C672" s="9">
        <f>SK[[#This Row],[MALZEME ]]</f>
        <v>0</v>
      </c>
      <c r="D672" s="9">
        <f>SK[[#This Row],[KALİTE]]</f>
        <v>0</v>
      </c>
      <c r="E672" s="11">
        <f>SK[[#This Row],[FİRE]]</f>
        <v>0</v>
      </c>
      <c r="F672" s="11">
        <f>SK[[#This Row],[EŞİT FİRE]]</f>
        <v>0</v>
      </c>
      <c r="G672" s="9">
        <f>IF(MOD(SK[[#This Row],[GEREKLİ ADET]],2)=0,SK[[#This Row],[GEREKLİ ADET]],0)</f>
        <v>0</v>
      </c>
      <c r="H672" s="9">
        <f>SK[[#This Row],[SONDAN KALAN FİRE]]</f>
        <v>0</v>
      </c>
    </row>
    <row r="673" spans="1:8" x14ac:dyDescent="0.3">
      <c r="A673" s="12">
        <f>SK[[#This Row],[TARİH]]</f>
        <v>0</v>
      </c>
      <c r="B673" s="9">
        <f>SK[[#This Row],[TÜR]]</f>
        <v>0</v>
      </c>
      <c r="C673" s="9">
        <f>SK[[#This Row],[MALZEME ]]</f>
        <v>0</v>
      </c>
      <c r="D673" s="9">
        <f>SK[[#This Row],[KALİTE]]</f>
        <v>0</v>
      </c>
      <c r="E673" s="11">
        <f>SK[[#This Row],[FİRE]]</f>
        <v>0</v>
      </c>
      <c r="F673" s="11">
        <f>SK[[#This Row],[EŞİT FİRE]]</f>
        <v>0</v>
      </c>
      <c r="G673" s="9">
        <f>IF(MOD(SK[[#This Row],[GEREKLİ ADET]],2)=0,SK[[#This Row],[GEREKLİ ADET]],0)</f>
        <v>0</v>
      </c>
      <c r="H673" s="9">
        <f>SK[[#This Row],[SONDAN KALAN FİRE]]</f>
        <v>0</v>
      </c>
    </row>
    <row r="674" spans="1:8" x14ac:dyDescent="0.3">
      <c r="A674" s="12">
        <f>SK[[#This Row],[TARİH]]</f>
        <v>0</v>
      </c>
      <c r="B674" s="9">
        <f>SK[[#This Row],[TÜR]]</f>
        <v>0</v>
      </c>
      <c r="C674" s="9">
        <f>SK[[#This Row],[MALZEME ]]</f>
        <v>0</v>
      </c>
      <c r="D674" s="9">
        <f>SK[[#This Row],[KALİTE]]</f>
        <v>0</v>
      </c>
      <c r="E674" s="11">
        <f>SK[[#This Row],[FİRE]]</f>
        <v>0</v>
      </c>
      <c r="F674" s="11">
        <f>SK[[#This Row],[EŞİT FİRE]]</f>
        <v>0</v>
      </c>
      <c r="G674" s="9">
        <f>IF(MOD(SK[[#This Row],[GEREKLİ ADET]],2)=0,SK[[#This Row],[GEREKLİ ADET]],0)</f>
        <v>0</v>
      </c>
      <c r="H674" s="9">
        <f>SK[[#This Row],[SONDAN KALAN FİRE]]</f>
        <v>0</v>
      </c>
    </row>
    <row r="675" spans="1:8" x14ac:dyDescent="0.3">
      <c r="A675" s="12">
        <f>SK[[#This Row],[TARİH]]</f>
        <v>0</v>
      </c>
      <c r="B675" s="9">
        <f>SK[[#This Row],[TÜR]]</f>
        <v>0</v>
      </c>
      <c r="C675" s="9">
        <f>SK[[#This Row],[MALZEME ]]</f>
        <v>0</v>
      </c>
      <c r="D675" s="9">
        <f>SK[[#This Row],[KALİTE]]</f>
        <v>0</v>
      </c>
      <c r="E675" s="11">
        <f>SK[[#This Row],[FİRE]]</f>
        <v>0</v>
      </c>
      <c r="F675" s="11">
        <f>SK[[#This Row],[EŞİT FİRE]]</f>
        <v>0</v>
      </c>
      <c r="G675" s="9">
        <f>IF(MOD(SK[[#This Row],[GEREKLİ ADET]],2)=0,SK[[#This Row],[GEREKLİ ADET]],0)</f>
        <v>0</v>
      </c>
      <c r="H675" s="9">
        <f>SK[[#This Row],[SONDAN KALAN FİRE]]</f>
        <v>0</v>
      </c>
    </row>
    <row r="676" spans="1:8" x14ac:dyDescent="0.3">
      <c r="A676" s="12">
        <f>SK[[#This Row],[TARİH]]</f>
        <v>0</v>
      </c>
      <c r="B676" s="9">
        <f>SK[[#This Row],[TÜR]]</f>
        <v>0</v>
      </c>
      <c r="C676" s="9">
        <f>SK[[#This Row],[MALZEME ]]</f>
        <v>0</v>
      </c>
      <c r="D676" s="9">
        <f>SK[[#This Row],[KALİTE]]</f>
        <v>0</v>
      </c>
      <c r="E676" s="11">
        <f>SK[[#This Row],[FİRE]]</f>
        <v>0</v>
      </c>
      <c r="F676" s="11">
        <f>SK[[#This Row],[EŞİT FİRE]]</f>
        <v>0</v>
      </c>
      <c r="G676" s="9">
        <f>IF(MOD(SK[[#This Row],[GEREKLİ ADET]],2)=0,SK[[#This Row],[GEREKLİ ADET]],0)</f>
        <v>0</v>
      </c>
      <c r="H676" s="9">
        <f>SK[[#This Row],[SONDAN KALAN FİRE]]</f>
        <v>0</v>
      </c>
    </row>
    <row r="677" spans="1:8" x14ac:dyDescent="0.3">
      <c r="A677" s="12">
        <f>SK[[#This Row],[TARİH]]</f>
        <v>0</v>
      </c>
      <c r="B677" s="9">
        <f>SK[[#This Row],[TÜR]]</f>
        <v>0</v>
      </c>
      <c r="C677" s="9">
        <f>SK[[#This Row],[MALZEME ]]</f>
        <v>0</v>
      </c>
      <c r="D677" s="9">
        <f>SK[[#This Row],[KALİTE]]</f>
        <v>0</v>
      </c>
      <c r="E677" s="11">
        <f>SK[[#This Row],[FİRE]]</f>
        <v>0</v>
      </c>
      <c r="F677" s="11">
        <f>SK[[#This Row],[EŞİT FİRE]]</f>
        <v>0</v>
      </c>
      <c r="G677" s="9">
        <f>IF(MOD(SK[[#This Row],[GEREKLİ ADET]],2)=0,SK[[#This Row],[GEREKLİ ADET]],0)</f>
        <v>0</v>
      </c>
      <c r="H677" s="9">
        <f>SK[[#This Row],[SONDAN KALAN FİRE]]</f>
        <v>0</v>
      </c>
    </row>
    <row r="678" spans="1:8" x14ac:dyDescent="0.3">
      <c r="A678" s="12">
        <f>SK[[#This Row],[TARİH]]</f>
        <v>0</v>
      </c>
      <c r="B678" s="9">
        <f>SK[[#This Row],[TÜR]]</f>
        <v>0</v>
      </c>
      <c r="C678" s="9">
        <f>SK[[#This Row],[MALZEME ]]</f>
        <v>0</v>
      </c>
      <c r="D678" s="9">
        <f>SK[[#This Row],[KALİTE]]</f>
        <v>0</v>
      </c>
      <c r="E678" s="11">
        <f>SK[[#This Row],[FİRE]]</f>
        <v>0</v>
      </c>
      <c r="F678" s="11">
        <f>SK[[#This Row],[EŞİT FİRE]]</f>
        <v>0</v>
      </c>
      <c r="G678" s="9">
        <f>IF(MOD(SK[[#This Row],[GEREKLİ ADET]],2)=0,SK[[#This Row],[GEREKLİ ADET]],0)</f>
        <v>0</v>
      </c>
      <c r="H678" s="9">
        <f>SK[[#This Row],[SONDAN KALAN FİRE]]</f>
        <v>0</v>
      </c>
    </row>
    <row r="679" spans="1:8" x14ac:dyDescent="0.3">
      <c r="A679" s="12">
        <f>SK[[#This Row],[TARİH]]</f>
        <v>0</v>
      </c>
      <c r="B679" s="9">
        <f>SK[[#This Row],[TÜR]]</f>
        <v>0</v>
      </c>
      <c r="C679" s="9">
        <f>SK[[#This Row],[MALZEME ]]</f>
        <v>0</v>
      </c>
      <c r="D679" s="9">
        <f>SK[[#This Row],[KALİTE]]</f>
        <v>0</v>
      </c>
      <c r="E679" s="11">
        <f>SK[[#This Row],[FİRE]]</f>
        <v>0</v>
      </c>
      <c r="F679" s="11">
        <f>SK[[#This Row],[EŞİT FİRE]]</f>
        <v>0</v>
      </c>
      <c r="G679" s="9">
        <f>IF(MOD(SK[[#This Row],[GEREKLİ ADET]],2)=0,SK[[#This Row],[GEREKLİ ADET]],0)</f>
        <v>0</v>
      </c>
      <c r="H679" s="9">
        <f>SK[[#This Row],[SONDAN KALAN FİRE]]</f>
        <v>0</v>
      </c>
    </row>
    <row r="680" spans="1:8" x14ac:dyDescent="0.3">
      <c r="A680" s="12">
        <f>SK[[#This Row],[TARİH]]</f>
        <v>0</v>
      </c>
      <c r="B680" s="9">
        <f>SK[[#This Row],[TÜR]]</f>
        <v>0</v>
      </c>
      <c r="C680" s="9">
        <f>SK[[#This Row],[MALZEME ]]</f>
        <v>0</v>
      </c>
      <c r="D680" s="9">
        <f>SK[[#This Row],[KALİTE]]</f>
        <v>0</v>
      </c>
      <c r="E680" s="11">
        <f>SK[[#This Row],[FİRE]]</f>
        <v>0</v>
      </c>
      <c r="F680" s="11">
        <f>SK[[#This Row],[EŞİT FİRE]]</f>
        <v>0</v>
      </c>
      <c r="G680" s="9">
        <f>IF(MOD(SK[[#This Row],[GEREKLİ ADET]],2)=0,SK[[#This Row],[GEREKLİ ADET]],0)</f>
        <v>0</v>
      </c>
      <c r="H680" s="9">
        <f>SK[[#This Row],[SONDAN KALAN FİRE]]</f>
        <v>0</v>
      </c>
    </row>
    <row r="681" spans="1:8" x14ac:dyDescent="0.3">
      <c r="A681" s="12">
        <f>SK[[#This Row],[TARİH]]</f>
        <v>0</v>
      </c>
      <c r="B681" s="9">
        <f>SK[[#This Row],[TÜR]]</f>
        <v>0</v>
      </c>
      <c r="C681" s="9">
        <f>SK[[#This Row],[MALZEME ]]</f>
        <v>0</v>
      </c>
      <c r="D681" s="9">
        <f>SK[[#This Row],[KALİTE]]</f>
        <v>0</v>
      </c>
      <c r="E681" s="11">
        <f>SK[[#This Row],[FİRE]]</f>
        <v>0</v>
      </c>
      <c r="F681" s="11">
        <f>SK[[#This Row],[EŞİT FİRE]]</f>
        <v>0</v>
      </c>
      <c r="G681" s="9">
        <f>IF(MOD(SK[[#This Row],[GEREKLİ ADET]],2)=0,SK[[#This Row],[GEREKLİ ADET]],0)</f>
        <v>0</v>
      </c>
      <c r="H681" s="9">
        <f>SK[[#This Row],[SONDAN KALAN FİRE]]</f>
        <v>0</v>
      </c>
    </row>
    <row r="682" spans="1:8" x14ac:dyDescent="0.3">
      <c r="A682" s="12">
        <f>SK[[#This Row],[TARİH]]</f>
        <v>0</v>
      </c>
      <c r="B682" s="9">
        <f>SK[[#This Row],[TÜR]]</f>
        <v>0</v>
      </c>
      <c r="C682" s="9">
        <f>SK[[#This Row],[MALZEME ]]</f>
        <v>0</v>
      </c>
      <c r="D682" s="9">
        <f>SK[[#This Row],[KALİTE]]</f>
        <v>0</v>
      </c>
      <c r="E682" s="11">
        <f>SK[[#This Row],[FİRE]]</f>
        <v>0</v>
      </c>
      <c r="F682" s="11">
        <f>SK[[#This Row],[EŞİT FİRE]]</f>
        <v>0</v>
      </c>
      <c r="G682" s="9">
        <f>IF(MOD(SK[[#This Row],[GEREKLİ ADET]],2)=0,SK[[#This Row],[GEREKLİ ADET]],0)</f>
        <v>0</v>
      </c>
      <c r="H682" s="9">
        <f>SK[[#This Row],[SONDAN KALAN FİRE]]</f>
        <v>0</v>
      </c>
    </row>
    <row r="683" spans="1:8" x14ac:dyDescent="0.3">
      <c r="A683" s="12">
        <f>SK[[#This Row],[TARİH]]</f>
        <v>0</v>
      </c>
      <c r="B683" s="9">
        <f>SK[[#This Row],[TÜR]]</f>
        <v>0</v>
      </c>
      <c r="C683" s="9">
        <f>SK[[#This Row],[MALZEME ]]</f>
        <v>0</v>
      </c>
      <c r="D683" s="9">
        <f>SK[[#This Row],[KALİTE]]</f>
        <v>0</v>
      </c>
      <c r="E683" s="11">
        <f>SK[[#This Row],[FİRE]]</f>
        <v>0</v>
      </c>
      <c r="F683" s="11">
        <f>SK[[#This Row],[EŞİT FİRE]]</f>
        <v>0</v>
      </c>
      <c r="G683" s="9">
        <f>IF(MOD(SK[[#This Row],[GEREKLİ ADET]],2)=0,SK[[#This Row],[GEREKLİ ADET]],0)</f>
        <v>0</v>
      </c>
      <c r="H683" s="9">
        <f>SK[[#This Row],[SONDAN KALAN FİRE]]</f>
        <v>0</v>
      </c>
    </row>
    <row r="684" spans="1:8" x14ac:dyDescent="0.3">
      <c r="A684" s="12">
        <f>SK[[#This Row],[TARİH]]</f>
        <v>0</v>
      </c>
      <c r="B684" s="9">
        <f>SK[[#This Row],[TÜR]]</f>
        <v>0</v>
      </c>
      <c r="C684" s="9">
        <f>SK[[#This Row],[MALZEME ]]</f>
        <v>0</v>
      </c>
      <c r="D684" s="9">
        <f>SK[[#This Row],[KALİTE]]</f>
        <v>0</v>
      </c>
      <c r="E684" s="11">
        <f>SK[[#This Row],[FİRE]]</f>
        <v>0</v>
      </c>
      <c r="F684" s="11">
        <f>SK[[#This Row],[EŞİT FİRE]]</f>
        <v>0</v>
      </c>
      <c r="G684" s="9">
        <f>IF(MOD(SK[[#This Row],[GEREKLİ ADET]],2)=0,SK[[#This Row],[GEREKLİ ADET]],0)</f>
        <v>0</v>
      </c>
      <c r="H684" s="9">
        <f>SK[[#This Row],[SONDAN KALAN FİRE]]</f>
        <v>0</v>
      </c>
    </row>
    <row r="685" spans="1:8" x14ac:dyDescent="0.3">
      <c r="A685" s="12">
        <f>SK[[#This Row],[TARİH]]</f>
        <v>0</v>
      </c>
      <c r="B685" s="9">
        <f>SK[[#This Row],[TÜR]]</f>
        <v>0</v>
      </c>
      <c r="C685" s="9">
        <f>SK[[#This Row],[MALZEME ]]</f>
        <v>0</v>
      </c>
      <c r="D685" s="9">
        <f>SK[[#This Row],[KALİTE]]</f>
        <v>0</v>
      </c>
      <c r="E685" s="11">
        <f>SK[[#This Row],[FİRE]]</f>
        <v>0</v>
      </c>
      <c r="F685" s="11">
        <f>SK[[#This Row],[EŞİT FİRE]]</f>
        <v>0</v>
      </c>
      <c r="G685" s="9">
        <f>IF(MOD(SK[[#This Row],[GEREKLİ ADET]],2)=0,SK[[#This Row],[GEREKLİ ADET]],0)</f>
        <v>0</v>
      </c>
      <c r="H685" s="9">
        <f>SK[[#This Row],[SONDAN KALAN FİRE]]</f>
        <v>0</v>
      </c>
    </row>
    <row r="686" spans="1:8" x14ac:dyDescent="0.3">
      <c r="A686" s="12">
        <f>SK[[#This Row],[TARİH]]</f>
        <v>0</v>
      </c>
      <c r="B686" s="9">
        <f>SK[[#This Row],[TÜR]]</f>
        <v>0</v>
      </c>
      <c r="C686" s="9">
        <f>SK[[#This Row],[MALZEME ]]</f>
        <v>0</v>
      </c>
      <c r="D686" s="9">
        <f>SK[[#This Row],[KALİTE]]</f>
        <v>0</v>
      </c>
      <c r="E686" s="11">
        <f>SK[[#This Row],[FİRE]]</f>
        <v>0</v>
      </c>
      <c r="F686" s="11">
        <f>SK[[#This Row],[EŞİT FİRE]]</f>
        <v>0</v>
      </c>
      <c r="G686" s="9">
        <f>IF(MOD(SK[[#This Row],[GEREKLİ ADET]],2)=0,SK[[#This Row],[GEREKLİ ADET]],0)</f>
        <v>0</v>
      </c>
      <c r="H686" s="9">
        <f>SK[[#This Row],[SONDAN KALAN FİRE]]</f>
        <v>0</v>
      </c>
    </row>
    <row r="687" spans="1:8" x14ac:dyDescent="0.3">
      <c r="A687" s="12">
        <f>SK[[#This Row],[TARİH]]</f>
        <v>0</v>
      </c>
      <c r="B687" s="9">
        <f>SK[[#This Row],[TÜR]]</f>
        <v>0</v>
      </c>
      <c r="C687" s="9">
        <f>SK[[#This Row],[MALZEME ]]</f>
        <v>0</v>
      </c>
      <c r="D687" s="9">
        <f>SK[[#This Row],[KALİTE]]</f>
        <v>0</v>
      </c>
      <c r="E687" s="11">
        <f>SK[[#This Row],[FİRE]]</f>
        <v>0</v>
      </c>
      <c r="F687" s="11">
        <f>SK[[#This Row],[EŞİT FİRE]]</f>
        <v>0</v>
      </c>
      <c r="G687" s="9">
        <f>IF(MOD(SK[[#This Row],[GEREKLİ ADET]],2)=0,SK[[#This Row],[GEREKLİ ADET]],0)</f>
        <v>0</v>
      </c>
      <c r="H687" s="9">
        <f>SK[[#This Row],[SONDAN KALAN FİRE]]</f>
        <v>0</v>
      </c>
    </row>
    <row r="688" spans="1:8" x14ac:dyDescent="0.3">
      <c r="A688" s="12">
        <f>SK[[#This Row],[TARİH]]</f>
        <v>0</v>
      </c>
      <c r="B688" s="9">
        <f>SK[[#This Row],[TÜR]]</f>
        <v>0</v>
      </c>
      <c r="C688" s="9">
        <f>SK[[#This Row],[MALZEME ]]</f>
        <v>0</v>
      </c>
      <c r="D688" s="9">
        <f>SK[[#This Row],[KALİTE]]</f>
        <v>0</v>
      </c>
      <c r="E688" s="11">
        <f>SK[[#This Row],[FİRE]]</f>
        <v>0</v>
      </c>
      <c r="F688" s="11">
        <f>SK[[#This Row],[EŞİT FİRE]]</f>
        <v>0</v>
      </c>
      <c r="G688" s="9">
        <f>IF(MOD(SK[[#This Row],[GEREKLİ ADET]],2)=0,SK[[#This Row],[GEREKLİ ADET]],0)</f>
        <v>0</v>
      </c>
      <c r="H688" s="9">
        <f>SK[[#This Row],[SONDAN KALAN FİRE]]</f>
        <v>0</v>
      </c>
    </row>
    <row r="689" spans="1:8" x14ac:dyDescent="0.3">
      <c r="A689" s="12">
        <f>SK[[#This Row],[TARİH]]</f>
        <v>0</v>
      </c>
      <c r="B689" s="9">
        <f>SK[[#This Row],[TÜR]]</f>
        <v>0</v>
      </c>
      <c r="C689" s="9">
        <f>SK[[#This Row],[MALZEME ]]</f>
        <v>0</v>
      </c>
      <c r="D689" s="9">
        <f>SK[[#This Row],[KALİTE]]</f>
        <v>0</v>
      </c>
      <c r="E689" s="11">
        <f>SK[[#This Row],[FİRE]]</f>
        <v>0</v>
      </c>
      <c r="F689" s="11">
        <f>SK[[#This Row],[EŞİT FİRE]]</f>
        <v>0</v>
      </c>
      <c r="G689" s="9">
        <f>IF(MOD(SK[[#This Row],[GEREKLİ ADET]],2)=0,SK[[#This Row],[GEREKLİ ADET]],0)</f>
        <v>0</v>
      </c>
      <c r="H689" s="9">
        <f>SK[[#This Row],[SONDAN KALAN FİRE]]</f>
        <v>0</v>
      </c>
    </row>
    <row r="690" spans="1:8" x14ac:dyDescent="0.3">
      <c r="A690" s="12">
        <f>SK[[#This Row],[TARİH]]</f>
        <v>0</v>
      </c>
      <c r="B690" s="9">
        <f>SK[[#This Row],[TÜR]]</f>
        <v>0</v>
      </c>
      <c r="C690" s="9">
        <f>SK[[#This Row],[MALZEME ]]</f>
        <v>0</v>
      </c>
      <c r="D690" s="9">
        <f>SK[[#This Row],[KALİTE]]</f>
        <v>0</v>
      </c>
      <c r="E690" s="11">
        <f>SK[[#This Row],[FİRE]]</f>
        <v>0</v>
      </c>
      <c r="F690" s="11">
        <f>SK[[#This Row],[EŞİT FİRE]]</f>
        <v>0</v>
      </c>
      <c r="G690" s="9">
        <f>IF(MOD(SK[[#This Row],[GEREKLİ ADET]],2)=0,SK[[#This Row],[GEREKLİ ADET]],0)</f>
        <v>0</v>
      </c>
      <c r="H690" s="9">
        <f>SK[[#This Row],[SONDAN KALAN FİRE]]</f>
        <v>0</v>
      </c>
    </row>
    <row r="691" spans="1:8" x14ac:dyDescent="0.3">
      <c r="A691" s="12">
        <f>SK[[#This Row],[TARİH]]</f>
        <v>0</v>
      </c>
      <c r="B691" s="9">
        <f>SK[[#This Row],[TÜR]]</f>
        <v>0</v>
      </c>
      <c r="C691" s="9">
        <f>SK[[#This Row],[MALZEME ]]</f>
        <v>0</v>
      </c>
      <c r="D691" s="9">
        <f>SK[[#This Row],[KALİTE]]</f>
        <v>0</v>
      </c>
      <c r="E691" s="11">
        <f>SK[[#This Row],[FİRE]]</f>
        <v>0</v>
      </c>
      <c r="F691" s="11">
        <f>SK[[#This Row],[EŞİT FİRE]]</f>
        <v>0</v>
      </c>
      <c r="G691" s="9">
        <f>IF(MOD(SK[[#This Row],[GEREKLİ ADET]],2)=0,SK[[#This Row],[GEREKLİ ADET]],0)</f>
        <v>0</v>
      </c>
      <c r="H691" s="9">
        <f>SK[[#This Row],[SONDAN KALAN FİRE]]</f>
        <v>0</v>
      </c>
    </row>
    <row r="692" spans="1:8" x14ac:dyDescent="0.3">
      <c r="A692" s="12">
        <f>SK[[#This Row],[TARİH]]</f>
        <v>0</v>
      </c>
      <c r="B692" s="9">
        <f>SK[[#This Row],[TÜR]]</f>
        <v>0</v>
      </c>
      <c r="C692" s="9">
        <f>SK[[#This Row],[MALZEME ]]</f>
        <v>0</v>
      </c>
      <c r="D692" s="9">
        <f>SK[[#This Row],[KALİTE]]</f>
        <v>0</v>
      </c>
      <c r="E692" s="11">
        <f>SK[[#This Row],[FİRE]]</f>
        <v>0</v>
      </c>
      <c r="F692" s="11">
        <f>SK[[#This Row],[EŞİT FİRE]]</f>
        <v>0</v>
      </c>
      <c r="G692" s="9">
        <f>IF(MOD(SK[[#This Row],[GEREKLİ ADET]],2)=0,SK[[#This Row],[GEREKLİ ADET]],0)</f>
        <v>0</v>
      </c>
      <c r="H692" s="9">
        <f>SK[[#This Row],[SONDAN KALAN FİRE]]</f>
        <v>0</v>
      </c>
    </row>
    <row r="693" spans="1:8" x14ac:dyDescent="0.3">
      <c r="A693" s="12">
        <f>SK[[#This Row],[TARİH]]</f>
        <v>0</v>
      </c>
      <c r="B693" s="9">
        <f>SK[[#This Row],[TÜR]]</f>
        <v>0</v>
      </c>
      <c r="C693" s="9">
        <f>SK[[#This Row],[MALZEME ]]</f>
        <v>0</v>
      </c>
      <c r="D693" s="9">
        <f>SK[[#This Row],[KALİTE]]</f>
        <v>0</v>
      </c>
      <c r="E693" s="11">
        <f>SK[[#This Row],[FİRE]]</f>
        <v>0</v>
      </c>
      <c r="F693" s="11">
        <f>SK[[#This Row],[EŞİT FİRE]]</f>
        <v>0</v>
      </c>
      <c r="G693" s="9">
        <f>IF(MOD(SK[[#This Row],[GEREKLİ ADET]],2)=0,SK[[#This Row],[GEREKLİ ADET]],0)</f>
        <v>0</v>
      </c>
      <c r="H693" s="9">
        <f>SK[[#This Row],[SONDAN KALAN FİRE]]</f>
        <v>0</v>
      </c>
    </row>
    <row r="694" spans="1:8" x14ac:dyDescent="0.3">
      <c r="A694" s="12">
        <f>SK[[#This Row],[TARİH]]</f>
        <v>0</v>
      </c>
      <c r="B694" s="9">
        <f>SK[[#This Row],[TÜR]]</f>
        <v>0</v>
      </c>
      <c r="C694" s="9">
        <f>SK[[#This Row],[MALZEME ]]</f>
        <v>0</v>
      </c>
      <c r="D694" s="9">
        <f>SK[[#This Row],[KALİTE]]</f>
        <v>0</v>
      </c>
      <c r="E694" s="11">
        <f>SK[[#This Row],[FİRE]]</f>
        <v>0</v>
      </c>
      <c r="F694" s="11">
        <f>SK[[#This Row],[EŞİT FİRE]]</f>
        <v>0</v>
      </c>
      <c r="G694" s="9">
        <f>IF(MOD(SK[[#This Row],[GEREKLİ ADET]],2)=0,SK[[#This Row],[GEREKLİ ADET]],0)</f>
        <v>0</v>
      </c>
      <c r="H694" s="9">
        <f>SK[[#This Row],[SONDAN KALAN FİRE]]</f>
        <v>0</v>
      </c>
    </row>
    <row r="695" spans="1:8" x14ac:dyDescent="0.3">
      <c r="A695" s="12">
        <f>SK[[#This Row],[TARİH]]</f>
        <v>0</v>
      </c>
      <c r="B695" s="9">
        <f>SK[[#This Row],[TÜR]]</f>
        <v>0</v>
      </c>
      <c r="C695" s="9">
        <f>SK[[#This Row],[MALZEME ]]</f>
        <v>0</v>
      </c>
      <c r="D695" s="9">
        <f>SK[[#This Row],[KALİTE]]</f>
        <v>0</v>
      </c>
      <c r="E695" s="11">
        <f>SK[[#This Row],[FİRE]]</f>
        <v>0</v>
      </c>
      <c r="F695" s="11">
        <f>SK[[#This Row],[EŞİT FİRE]]</f>
        <v>0</v>
      </c>
      <c r="G695" s="9">
        <f>IF(MOD(SK[[#This Row],[GEREKLİ ADET]],2)=0,SK[[#This Row],[GEREKLİ ADET]],0)</f>
        <v>0</v>
      </c>
      <c r="H695" s="9">
        <f>SK[[#This Row],[SONDAN KALAN FİRE]]</f>
        <v>0</v>
      </c>
    </row>
    <row r="696" spans="1:8" x14ac:dyDescent="0.3">
      <c r="A696" s="12">
        <f>SK[[#This Row],[TARİH]]</f>
        <v>0</v>
      </c>
      <c r="B696" s="9">
        <f>SK[[#This Row],[TÜR]]</f>
        <v>0</v>
      </c>
      <c r="C696" s="9">
        <f>SK[[#This Row],[MALZEME ]]</f>
        <v>0</v>
      </c>
      <c r="D696" s="9">
        <f>SK[[#This Row],[KALİTE]]</f>
        <v>0</v>
      </c>
      <c r="E696" s="11">
        <f>SK[[#This Row],[FİRE]]</f>
        <v>0</v>
      </c>
      <c r="F696" s="11">
        <f>SK[[#This Row],[EŞİT FİRE]]</f>
        <v>0</v>
      </c>
      <c r="G696" s="9">
        <f>IF(MOD(SK[[#This Row],[GEREKLİ ADET]],2)=0,SK[[#This Row],[GEREKLİ ADET]],0)</f>
        <v>0</v>
      </c>
      <c r="H696" s="9">
        <f>SK[[#This Row],[SONDAN KALAN FİRE]]</f>
        <v>0</v>
      </c>
    </row>
    <row r="697" spans="1:8" x14ac:dyDescent="0.3">
      <c r="A697" s="12">
        <f>SK[[#This Row],[TARİH]]</f>
        <v>0</v>
      </c>
      <c r="B697" s="9">
        <f>SK[[#This Row],[TÜR]]</f>
        <v>0</v>
      </c>
      <c r="C697" s="9">
        <f>SK[[#This Row],[MALZEME ]]</f>
        <v>0</v>
      </c>
      <c r="D697" s="9">
        <f>SK[[#This Row],[KALİTE]]</f>
        <v>0</v>
      </c>
      <c r="E697" s="11">
        <f>SK[[#This Row],[FİRE]]</f>
        <v>0</v>
      </c>
      <c r="F697" s="11">
        <f>SK[[#This Row],[EŞİT FİRE]]</f>
        <v>0</v>
      </c>
      <c r="G697" s="9">
        <f>IF(MOD(SK[[#This Row],[GEREKLİ ADET]],2)=0,SK[[#This Row],[GEREKLİ ADET]],0)</f>
        <v>0</v>
      </c>
      <c r="H697" s="9">
        <f>SK[[#This Row],[SONDAN KALAN FİRE]]</f>
        <v>0</v>
      </c>
    </row>
    <row r="698" spans="1:8" x14ac:dyDescent="0.3">
      <c r="A698" s="12">
        <f>SK[[#This Row],[TARİH]]</f>
        <v>0</v>
      </c>
      <c r="B698" s="9">
        <f>SK[[#This Row],[TÜR]]</f>
        <v>0</v>
      </c>
      <c r="C698" s="9">
        <f>SK[[#This Row],[MALZEME ]]</f>
        <v>0</v>
      </c>
      <c r="D698" s="9">
        <f>SK[[#This Row],[KALİTE]]</f>
        <v>0</v>
      </c>
      <c r="E698" s="11">
        <f>SK[[#This Row],[FİRE]]</f>
        <v>0</v>
      </c>
      <c r="F698" s="11">
        <f>SK[[#This Row],[EŞİT FİRE]]</f>
        <v>0</v>
      </c>
      <c r="G698" s="9">
        <f>IF(MOD(SK[[#This Row],[GEREKLİ ADET]],2)=0,SK[[#This Row],[GEREKLİ ADET]],0)</f>
        <v>0</v>
      </c>
      <c r="H698" s="9">
        <f>SK[[#This Row],[SONDAN KALAN FİRE]]</f>
        <v>0</v>
      </c>
    </row>
    <row r="699" spans="1:8" x14ac:dyDescent="0.3">
      <c r="A699" s="12">
        <f>SK[[#This Row],[TARİH]]</f>
        <v>0</v>
      </c>
      <c r="B699" s="9">
        <f>SK[[#This Row],[TÜR]]</f>
        <v>0</v>
      </c>
      <c r="C699" s="9">
        <f>SK[[#This Row],[MALZEME ]]</f>
        <v>0</v>
      </c>
      <c r="D699" s="9">
        <f>SK[[#This Row],[KALİTE]]</f>
        <v>0</v>
      </c>
      <c r="E699" s="11">
        <f>SK[[#This Row],[FİRE]]</f>
        <v>0</v>
      </c>
      <c r="F699" s="11">
        <f>SK[[#This Row],[EŞİT FİRE]]</f>
        <v>0</v>
      </c>
      <c r="G699" s="9">
        <f>IF(MOD(SK[[#This Row],[GEREKLİ ADET]],2)=0,SK[[#This Row],[GEREKLİ ADET]],0)</f>
        <v>0</v>
      </c>
      <c r="H699" s="9">
        <f>SK[[#This Row],[SONDAN KALAN FİRE]]</f>
        <v>0</v>
      </c>
    </row>
    <row r="700" spans="1:8" x14ac:dyDescent="0.3">
      <c r="A700" s="12">
        <f>SK[[#This Row],[TARİH]]</f>
        <v>0</v>
      </c>
      <c r="B700" s="9">
        <f>SK[[#This Row],[TÜR]]</f>
        <v>0</v>
      </c>
      <c r="C700" s="9">
        <f>SK[[#This Row],[MALZEME ]]</f>
        <v>0</v>
      </c>
      <c r="D700" s="9">
        <f>SK[[#This Row],[KALİTE]]</f>
        <v>0</v>
      </c>
      <c r="E700" s="11">
        <f>SK[[#This Row],[FİRE]]</f>
        <v>0</v>
      </c>
      <c r="F700" s="11">
        <f>SK[[#This Row],[EŞİT FİRE]]</f>
        <v>0</v>
      </c>
      <c r="G700" s="9">
        <f>IF(MOD(SK[[#This Row],[GEREKLİ ADET]],2)=0,SK[[#This Row],[GEREKLİ ADET]],0)</f>
        <v>0</v>
      </c>
      <c r="H700" s="9">
        <f>SK[[#This Row],[SONDAN KALAN FİRE]]</f>
        <v>0</v>
      </c>
    </row>
    <row r="701" spans="1:8" x14ac:dyDescent="0.3">
      <c r="A701" s="12">
        <f>SK[[#This Row],[TARİH]]</f>
        <v>0</v>
      </c>
      <c r="B701" s="9">
        <f>SK[[#This Row],[TÜR]]</f>
        <v>0</v>
      </c>
      <c r="C701" s="9">
        <f>SK[[#This Row],[MALZEME ]]</f>
        <v>0</v>
      </c>
      <c r="D701" s="9">
        <f>SK[[#This Row],[KALİTE]]</f>
        <v>0</v>
      </c>
      <c r="E701" s="11">
        <f>SK[[#This Row],[FİRE]]</f>
        <v>0</v>
      </c>
      <c r="F701" s="11">
        <f>SK[[#This Row],[EŞİT FİRE]]</f>
        <v>0</v>
      </c>
      <c r="G701" s="9">
        <f>IF(MOD(SK[[#This Row],[GEREKLİ ADET]],2)=0,SK[[#This Row],[GEREKLİ ADET]],0)</f>
        <v>0</v>
      </c>
      <c r="H701" s="9">
        <f>SK[[#This Row],[SONDAN KALAN FİRE]]</f>
        <v>0</v>
      </c>
    </row>
    <row r="702" spans="1:8" x14ac:dyDescent="0.3">
      <c r="A702" s="12">
        <f>SK[[#This Row],[TARİH]]</f>
        <v>0</v>
      </c>
      <c r="B702" s="9">
        <f>SK[[#This Row],[TÜR]]</f>
        <v>0</v>
      </c>
      <c r="C702" s="9">
        <f>SK[[#This Row],[MALZEME ]]</f>
        <v>0</v>
      </c>
      <c r="D702" s="9">
        <f>SK[[#This Row],[KALİTE]]</f>
        <v>0</v>
      </c>
      <c r="E702" s="11">
        <f>SK[[#This Row],[FİRE]]</f>
        <v>0</v>
      </c>
      <c r="F702" s="11">
        <f>SK[[#This Row],[EŞİT FİRE]]</f>
        <v>0</v>
      </c>
      <c r="G702" s="9">
        <f>IF(MOD(SK[[#This Row],[GEREKLİ ADET]],2)=0,SK[[#This Row],[GEREKLİ ADET]],0)</f>
        <v>0</v>
      </c>
      <c r="H702" s="9">
        <f>SK[[#This Row],[SONDAN KALAN FİRE]]</f>
        <v>0</v>
      </c>
    </row>
    <row r="703" spans="1:8" x14ac:dyDescent="0.3">
      <c r="A703" s="12">
        <f>SK[[#This Row],[TARİH]]</f>
        <v>0</v>
      </c>
      <c r="B703" s="9">
        <f>SK[[#This Row],[TÜR]]</f>
        <v>0</v>
      </c>
      <c r="C703" s="9">
        <f>SK[[#This Row],[MALZEME ]]</f>
        <v>0</v>
      </c>
      <c r="D703" s="9">
        <f>SK[[#This Row],[KALİTE]]</f>
        <v>0</v>
      </c>
      <c r="E703" s="11">
        <f>SK[[#This Row],[FİRE]]</f>
        <v>0</v>
      </c>
      <c r="F703" s="11">
        <f>SK[[#This Row],[EŞİT FİRE]]</f>
        <v>0</v>
      </c>
      <c r="G703" s="9">
        <f>IF(MOD(SK[[#This Row],[GEREKLİ ADET]],2)=0,SK[[#This Row],[GEREKLİ ADET]],0)</f>
        <v>0</v>
      </c>
      <c r="H703" s="9">
        <f>SK[[#This Row],[SONDAN KALAN FİRE]]</f>
        <v>0</v>
      </c>
    </row>
    <row r="704" spans="1:8" x14ac:dyDescent="0.3">
      <c r="A704" s="12">
        <f>SK[[#This Row],[TARİH]]</f>
        <v>0</v>
      </c>
      <c r="B704" s="9">
        <f>SK[[#This Row],[TÜR]]</f>
        <v>0</v>
      </c>
      <c r="C704" s="9">
        <f>SK[[#This Row],[MALZEME ]]</f>
        <v>0</v>
      </c>
      <c r="D704" s="9">
        <f>SK[[#This Row],[KALİTE]]</f>
        <v>0</v>
      </c>
      <c r="E704" s="11">
        <f>SK[[#This Row],[FİRE]]</f>
        <v>0</v>
      </c>
      <c r="F704" s="11">
        <f>SK[[#This Row],[EŞİT FİRE]]</f>
        <v>0</v>
      </c>
      <c r="G704" s="9">
        <f>IF(MOD(SK[[#This Row],[GEREKLİ ADET]],2)=0,SK[[#This Row],[GEREKLİ ADET]],0)</f>
        <v>0</v>
      </c>
      <c r="H704" s="9">
        <f>SK[[#This Row],[SONDAN KALAN FİRE]]</f>
        <v>0</v>
      </c>
    </row>
    <row r="705" spans="1:8" x14ac:dyDescent="0.3">
      <c r="A705" s="12">
        <f>SK[[#This Row],[TARİH]]</f>
        <v>0</v>
      </c>
      <c r="B705" s="9">
        <f>SK[[#This Row],[TÜR]]</f>
        <v>0</v>
      </c>
      <c r="C705" s="9">
        <f>SK[[#This Row],[MALZEME ]]</f>
        <v>0</v>
      </c>
      <c r="D705" s="9">
        <f>SK[[#This Row],[KALİTE]]</f>
        <v>0</v>
      </c>
      <c r="E705" s="11">
        <f>SK[[#This Row],[FİRE]]</f>
        <v>0</v>
      </c>
      <c r="F705" s="11">
        <f>SK[[#This Row],[EŞİT FİRE]]</f>
        <v>0</v>
      </c>
      <c r="G705" s="9">
        <f>IF(MOD(SK[[#This Row],[GEREKLİ ADET]],2)=0,SK[[#This Row],[GEREKLİ ADET]],0)</f>
        <v>0</v>
      </c>
      <c r="H705" s="9">
        <f>SK[[#This Row],[SONDAN KALAN FİRE]]</f>
        <v>0</v>
      </c>
    </row>
    <row r="706" spans="1:8" x14ac:dyDescent="0.3">
      <c r="A706" s="12">
        <f>SK[[#This Row],[TARİH]]</f>
        <v>0</v>
      </c>
      <c r="B706" s="9">
        <f>SK[[#This Row],[TÜR]]</f>
        <v>0</v>
      </c>
      <c r="C706" s="9">
        <f>SK[[#This Row],[MALZEME ]]</f>
        <v>0</v>
      </c>
      <c r="D706" s="9">
        <f>SK[[#This Row],[KALİTE]]</f>
        <v>0</v>
      </c>
      <c r="E706" s="11">
        <f>SK[[#This Row],[FİRE]]</f>
        <v>0</v>
      </c>
      <c r="F706" s="11">
        <f>SK[[#This Row],[EŞİT FİRE]]</f>
        <v>0</v>
      </c>
      <c r="G706" s="9">
        <f>IF(MOD(SK[[#This Row],[GEREKLİ ADET]],2)=0,SK[[#This Row],[GEREKLİ ADET]],0)</f>
        <v>0</v>
      </c>
      <c r="H706" s="9">
        <f>SK[[#This Row],[SONDAN KALAN FİRE]]</f>
        <v>0</v>
      </c>
    </row>
    <row r="707" spans="1:8" x14ac:dyDescent="0.3">
      <c r="A707" s="12">
        <f>SK[[#This Row],[TARİH]]</f>
        <v>0</v>
      </c>
      <c r="B707" s="9">
        <f>SK[[#This Row],[TÜR]]</f>
        <v>0</v>
      </c>
      <c r="C707" s="9">
        <f>SK[[#This Row],[MALZEME ]]</f>
        <v>0</v>
      </c>
      <c r="D707" s="9">
        <f>SK[[#This Row],[KALİTE]]</f>
        <v>0</v>
      </c>
      <c r="E707" s="11">
        <f>SK[[#This Row],[FİRE]]</f>
        <v>0</v>
      </c>
      <c r="F707" s="11">
        <f>SK[[#This Row],[EŞİT FİRE]]</f>
        <v>0</v>
      </c>
      <c r="G707" s="9">
        <f>IF(MOD(SK[[#This Row],[GEREKLİ ADET]],2)=0,SK[[#This Row],[GEREKLİ ADET]],0)</f>
        <v>0</v>
      </c>
      <c r="H707" s="9">
        <f>SK[[#This Row],[SONDAN KALAN FİRE]]</f>
        <v>0</v>
      </c>
    </row>
    <row r="708" spans="1:8" x14ac:dyDescent="0.3">
      <c r="A708" s="12">
        <f>SK[[#This Row],[TARİH]]</f>
        <v>0</v>
      </c>
      <c r="B708" s="9">
        <f>SK[[#This Row],[TÜR]]</f>
        <v>0</v>
      </c>
      <c r="C708" s="9">
        <f>SK[[#This Row],[MALZEME ]]</f>
        <v>0</v>
      </c>
      <c r="D708" s="9">
        <f>SK[[#This Row],[KALİTE]]</f>
        <v>0</v>
      </c>
      <c r="E708" s="11">
        <f>SK[[#This Row],[FİRE]]</f>
        <v>0</v>
      </c>
      <c r="F708" s="11">
        <f>SK[[#This Row],[EŞİT FİRE]]</f>
        <v>0</v>
      </c>
      <c r="G708" s="9">
        <f>IF(MOD(SK[[#This Row],[GEREKLİ ADET]],2)=0,SK[[#This Row],[GEREKLİ ADET]],0)</f>
        <v>0</v>
      </c>
      <c r="H708" s="9">
        <f>SK[[#This Row],[SONDAN KALAN FİRE]]</f>
        <v>0</v>
      </c>
    </row>
    <row r="709" spans="1:8" x14ac:dyDescent="0.3">
      <c r="A709" s="12">
        <f>SK[[#This Row],[TARİH]]</f>
        <v>0</v>
      </c>
      <c r="B709" s="9">
        <f>SK[[#This Row],[TÜR]]</f>
        <v>0</v>
      </c>
      <c r="C709" s="9">
        <f>SK[[#This Row],[MALZEME ]]</f>
        <v>0</v>
      </c>
      <c r="D709" s="9">
        <f>SK[[#This Row],[KALİTE]]</f>
        <v>0</v>
      </c>
      <c r="E709" s="11">
        <f>SK[[#This Row],[FİRE]]</f>
        <v>0</v>
      </c>
      <c r="F709" s="11">
        <f>SK[[#This Row],[EŞİT FİRE]]</f>
        <v>0</v>
      </c>
      <c r="G709" s="9">
        <f>IF(MOD(SK[[#This Row],[GEREKLİ ADET]],2)=0,SK[[#This Row],[GEREKLİ ADET]],0)</f>
        <v>0</v>
      </c>
      <c r="H709" s="9">
        <f>SK[[#This Row],[SONDAN KALAN FİRE]]</f>
        <v>0</v>
      </c>
    </row>
    <row r="710" spans="1:8" x14ac:dyDescent="0.3">
      <c r="A710" s="12">
        <f>SK[[#This Row],[TARİH]]</f>
        <v>0</v>
      </c>
      <c r="B710" s="9">
        <f>SK[[#This Row],[TÜR]]</f>
        <v>0</v>
      </c>
      <c r="C710" s="9">
        <f>SK[[#This Row],[MALZEME ]]</f>
        <v>0</v>
      </c>
      <c r="D710" s="9">
        <f>SK[[#This Row],[KALİTE]]</f>
        <v>0</v>
      </c>
      <c r="E710" s="11">
        <f>SK[[#This Row],[FİRE]]</f>
        <v>0</v>
      </c>
      <c r="F710" s="11">
        <f>SK[[#This Row],[EŞİT FİRE]]</f>
        <v>0</v>
      </c>
      <c r="G710" s="9">
        <f>IF(MOD(SK[[#This Row],[GEREKLİ ADET]],2)=0,SK[[#This Row],[GEREKLİ ADET]],0)</f>
        <v>0</v>
      </c>
      <c r="H710" s="9">
        <f>SK[[#This Row],[SONDAN KALAN FİRE]]</f>
        <v>0</v>
      </c>
    </row>
    <row r="711" spans="1:8" x14ac:dyDescent="0.3">
      <c r="A711" s="12">
        <f>SK[[#This Row],[TARİH]]</f>
        <v>0</v>
      </c>
      <c r="B711" s="9">
        <f>SK[[#This Row],[TÜR]]</f>
        <v>0</v>
      </c>
      <c r="C711" s="9">
        <f>SK[[#This Row],[MALZEME ]]</f>
        <v>0</v>
      </c>
      <c r="D711" s="9">
        <f>SK[[#This Row],[KALİTE]]</f>
        <v>0</v>
      </c>
      <c r="E711" s="11">
        <f>SK[[#This Row],[FİRE]]</f>
        <v>0</v>
      </c>
      <c r="F711" s="11">
        <f>SK[[#This Row],[EŞİT FİRE]]</f>
        <v>0</v>
      </c>
      <c r="G711" s="9">
        <f>IF(MOD(SK[[#This Row],[GEREKLİ ADET]],2)=0,SK[[#This Row],[GEREKLİ ADET]],0)</f>
        <v>0</v>
      </c>
      <c r="H711" s="9">
        <f>SK[[#This Row],[SONDAN KALAN FİRE]]</f>
        <v>0</v>
      </c>
    </row>
    <row r="712" spans="1:8" x14ac:dyDescent="0.3">
      <c r="A712" s="12">
        <f>SK[[#This Row],[TARİH]]</f>
        <v>0</v>
      </c>
      <c r="B712" s="9">
        <f>SK[[#This Row],[TÜR]]</f>
        <v>0</v>
      </c>
      <c r="C712" s="9">
        <f>SK[[#This Row],[MALZEME ]]</f>
        <v>0</v>
      </c>
      <c r="D712" s="9">
        <f>SK[[#This Row],[KALİTE]]</f>
        <v>0</v>
      </c>
      <c r="E712" s="11">
        <f>SK[[#This Row],[FİRE]]</f>
        <v>0</v>
      </c>
      <c r="F712" s="11">
        <f>SK[[#This Row],[EŞİT FİRE]]</f>
        <v>0</v>
      </c>
      <c r="G712" s="9">
        <f>IF(MOD(SK[[#This Row],[GEREKLİ ADET]],2)=0,SK[[#This Row],[GEREKLİ ADET]],0)</f>
        <v>0</v>
      </c>
      <c r="H712" s="9">
        <f>SK[[#This Row],[SONDAN KALAN FİRE]]</f>
        <v>0</v>
      </c>
    </row>
    <row r="713" spans="1:8" x14ac:dyDescent="0.3">
      <c r="A713" s="12">
        <f>SK[[#This Row],[TARİH]]</f>
        <v>0</v>
      </c>
      <c r="B713" s="9">
        <f>SK[[#This Row],[TÜR]]</f>
        <v>0</v>
      </c>
      <c r="C713" s="9">
        <f>SK[[#This Row],[MALZEME ]]</f>
        <v>0</v>
      </c>
      <c r="D713" s="9">
        <f>SK[[#This Row],[KALİTE]]</f>
        <v>0</v>
      </c>
      <c r="E713" s="11">
        <f>SK[[#This Row],[FİRE]]</f>
        <v>0</v>
      </c>
      <c r="F713" s="11">
        <f>SK[[#This Row],[EŞİT FİRE]]</f>
        <v>0</v>
      </c>
      <c r="G713" s="9">
        <f>IF(MOD(SK[[#This Row],[GEREKLİ ADET]],2)=0,SK[[#This Row],[GEREKLİ ADET]],0)</f>
        <v>0</v>
      </c>
      <c r="H713" s="9">
        <f>SK[[#This Row],[SONDAN KALAN FİRE]]</f>
        <v>0</v>
      </c>
    </row>
    <row r="714" spans="1:8" x14ac:dyDescent="0.3">
      <c r="A714" s="12">
        <f>SK[[#This Row],[TARİH]]</f>
        <v>0</v>
      </c>
      <c r="B714" s="9">
        <f>SK[[#This Row],[TÜR]]</f>
        <v>0</v>
      </c>
      <c r="C714" s="9">
        <f>SK[[#This Row],[MALZEME ]]</f>
        <v>0</v>
      </c>
      <c r="D714" s="9">
        <f>SK[[#This Row],[KALİTE]]</f>
        <v>0</v>
      </c>
      <c r="E714" s="11">
        <f>SK[[#This Row],[FİRE]]</f>
        <v>0</v>
      </c>
      <c r="F714" s="11">
        <f>SK[[#This Row],[EŞİT FİRE]]</f>
        <v>0</v>
      </c>
      <c r="G714" s="9">
        <f>IF(MOD(SK[[#This Row],[GEREKLİ ADET]],2)=0,SK[[#This Row],[GEREKLİ ADET]],0)</f>
        <v>0</v>
      </c>
      <c r="H714" s="9">
        <f>SK[[#This Row],[SONDAN KALAN FİRE]]</f>
        <v>0</v>
      </c>
    </row>
    <row r="715" spans="1:8" x14ac:dyDescent="0.3">
      <c r="A715" s="12">
        <f>SK[[#This Row],[TARİH]]</f>
        <v>0</v>
      </c>
      <c r="B715" s="9">
        <f>SK[[#This Row],[TÜR]]</f>
        <v>0</v>
      </c>
      <c r="C715" s="9">
        <f>SK[[#This Row],[MALZEME ]]</f>
        <v>0</v>
      </c>
      <c r="D715" s="9">
        <f>SK[[#This Row],[KALİTE]]</f>
        <v>0</v>
      </c>
      <c r="E715" s="11">
        <f>SK[[#This Row],[FİRE]]</f>
        <v>0</v>
      </c>
      <c r="F715" s="11">
        <f>SK[[#This Row],[EŞİT FİRE]]</f>
        <v>0</v>
      </c>
      <c r="G715" s="9">
        <f>IF(MOD(SK[[#This Row],[GEREKLİ ADET]],2)=0,SK[[#This Row],[GEREKLİ ADET]],0)</f>
        <v>0</v>
      </c>
      <c r="H715" s="9">
        <f>SK[[#This Row],[SONDAN KALAN FİRE]]</f>
        <v>0</v>
      </c>
    </row>
    <row r="716" spans="1:8" x14ac:dyDescent="0.3">
      <c r="A716" s="12">
        <f>SK[[#This Row],[TARİH]]</f>
        <v>0</v>
      </c>
      <c r="B716" s="9">
        <f>SK[[#This Row],[TÜR]]</f>
        <v>0</v>
      </c>
      <c r="C716" s="9">
        <f>SK[[#This Row],[MALZEME ]]</f>
        <v>0</v>
      </c>
      <c r="D716" s="9">
        <f>SK[[#This Row],[KALİTE]]</f>
        <v>0</v>
      </c>
      <c r="E716" s="11">
        <f>SK[[#This Row],[FİRE]]</f>
        <v>0</v>
      </c>
      <c r="F716" s="11">
        <f>SK[[#This Row],[EŞİT FİRE]]</f>
        <v>0</v>
      </c>
      <c r="G716" s="9">
        <f>IF(MOD(SK[[#This Row],[GEREKLİ ADET]],2)=0,SK[[#This Row],[GEREKLİ ADET]],0)</f>
        <v>0</v>
      </c>
      <c r="H716" s="9">
        <f>SK[[#This Row],[SONDAN KALAN FİRE]]</f>
        <v>0</v>
      </c>
    </row>
    <row r="717" spans="1:8" x14ac:dyDescent="0.3">
      <c r="A717" s="12">
        <f>SK[[#This Row],[TARİH]]</f>
        <v>0</v>
      </c>
      <c r="B717" s="9">
        <f>SK[[#This Row],[TÜR]]</f>
        <v>0</v>
      </c>
      <c r="C717" s="9">
        <f>SK[[#This Row],[MALZEME ]]</f>
        <v>0</v>
      </c>
      <c r="D717" s="9">
        <f>SK[[#This Row],[KALİTE]]</f>
        <v>0</v>
      </c>
      <c r="E717" s="11">
        <f>SK[[#This Row],[FİRE]]</f>
        <v>0</v>
      </c>
      <c r="F717" s="11">
        <f>SK[[#This Row],[EŞİT FİRE]]</f>
        <v>0</v>
      </c>
      <c r="G717" s="9">
        <f>IF(MOD(SK[[#This Row],[GEREKLİ ADET]],2)=0,SK[[#This Row],[GEREKLİ ADET]],0)</f>
        <v>0</v>
      </c>
      <c r="H717" s="9">
        <f>SK[[#This Row],[SONDAN KALAN FİRE]]</f>
        <v>0</v>
      </c>
    </row>
    <row r="718" spans="1:8" x14ac:dyDescent="0.3">
      <c r="A718" s="12">
        <f>SK[[#This Row],[TARİH]]</f>
        <v>0</v>
      </c>
      <c r="B718" s="9">
        <f>SK[[#This Row],[TÜR]]</f>
        <v>0</v>
      </c>
      <c r="C718" s="9">
        <f>SK[[#This Row],[MALZEME ]]</f>
        <v>0</v>
      </c>
      <c r="D718" s="9">
        <f>SK[[#This Row],[KALİTE]]</f>
        <v>0</v>
      </c>
      <c r="E718" s="11">
        <f>SK[[#This Row],[FİRE]]</f>
        <v>0</v>
      </c>
      <c r="F718" s="11">
        <f>SK[[#This Row],[EŞİT FİRE]]</f>
        <v>0</v>
      </c>
      <c r="G718" s="9">
        <f>IF(MOD(SK[[#This Row],[GEREKLİ ADET]],2)=0,SK[[#This Row],[GEREKLİ ADET]],0)</f>
        <v>0</v>
      </c>
      <c r="H718" s="9">
        <f>SK[[#This Row],[SONDAN KALAN FİRE]]</f>
        <v>0</v>
      </c>
    </row>
    <row r="719" spans="1:8" x14ac:dyDescent="0.3">
      <c r="A719" s="12">
        <f>SK[[#This Row],[TARİH]]</f>
        <v>0</v>
      </c>
      <c r="B719" s="9">
        <f>SK[[#This Row],[TÜR]]</f>
        <v>0</v>
      </c>
      <c r="C719" s="9">
        <f>SK[[#This Row],[MALZEME ]]</f>
        <v>0</v>
      </c>
      <c r="D719" s="9">
        <f>SK[[#This Row],[KALİTE]]</f>
        <v>0</v>
      </c>
      <c r="E719" s="11">
        <f>SK[[#This Row],[FİRE]]</f>
        <v>0</v>
      </c>
      <c r="F719" s="11">
        <f>SK[[#This Row],[EŞİT FİRE]]</f>
        <v>0</v>
      </c>
      <c r="G719" s="9">
        <f>IF(MOD(SK[[#This Row],[GEREKLİ ADET]],2)=0,SK[[#This Row],[GEREKLİ ADET]],0)</f>
        <v>0</v>
      </c>
      <c r="H719" s="9">
        <f>SK[[#This Row],[SONDAN KALAN FİRE]]</f>
        <v>0</v>
      </c>
    </row>
    <row r="720" spans="1:8" x14ac:dyDescent="0.3">
      <c r="A720" s="12">
        <f>SK[[#This Row],[TARİH]]</f>
        <v>0</v>
      </c>
      <c r="B720" s="9">
        <f>SK[[#This Row],[TÜR]]</f>
        <v>0</v>
      </c>
      <c r="C720" s="9">
        <f>SK[[#This Row],[MALZEME ]]</f>
        <v>0</v>
      </c>
      <c r="D720" s="9">
        <f>SK[[#This Row],[KALİTE]]</f>
        <v>0</v>
      </c>
      <c r="E720" s="11">
        <f>SK[[#This Row],[FİRE]]</f>
        <v>0</v>
      </c>
      <c r="F720" s="11">
        <f>SK[[#This Row],[EŞİT FİRE]]</f>
        <v>0</v>
      </c>
      <c r="G720" s="9">
        <f>IF(MOD(SK[[#This Row],[GEREKLİ ADET]],2)=0,SK[[#This Row],[GEREKLİ ADET]],0)</f>
        <v>0</v>
      </c>
      <c r="H720" s="9">
        <f>SK[[#This Row],[SONDAN KALAN FİRE]]</f>
        <v>0</v>
      </c>
    </row>
    <row r="721" spans="1:8" x14ac:dyDescent="0.3">
      <c r="A721" s="12">
        <f>SK[[#This Row],[TARİH]]</f>
        <v>0</v>
      </c>
      <c r="B721" s="9">
        <f>SK[[#This Row],[TÜR]]</f>
        <v>0</v>
      </c>
      <c r="C721" s="9">
        <f>SK[[#This Row],[MALZEME ]]</f>
        <v>0</v>
      </c>
      <c r="D721" s="9">
        <f>SK[[#This Row],[KALİTE]]</f>
        <v>0</v>
      </c>
      <c r="E721" s="11">
        <f>SK[[#This Row],[FİRE]]</f>
        <v>0</v>
      </c>
      <c r="F721" s="11">
        <f>SK[[#This Row],[EŞİT FİRE]]</f>
        <v>0</v>
      </c>
      <c r="G721" s="9">
        <f>IF(MOD(SK[[#This Row],[GEREKLİ ADET]],2)=0,SK[[#This Row],[GEREKLİ ADET]],0)</f>
        <v>0</v>
      </c>
      <c r="H721" s="9">
        <f>SK[[#This Row],[SONDAN KALAN FİRE]]</f>
        <v>0</v>
      </c>
    </row>
    <row r="722" spans="1:8" x14ac:dyDescent="0.3">
      <c r="A722" s="12">
        <f>SK[[#This Row],[TARİH]]</f>
        <v>0</v>
      </c>
      <c r="B722" s="9">
        <f>SK[[#This Row],[TÜR]]</f>
        <v>0</v>
      </c>
      <c r="C722" s="9">
        <f>SK[[#This Row],[MALZEME ]]</f>
        <v>0</v>
      </c>
      <c r="D722" s="9">
        <f>SK[[#This Row],[KALİTE]]</f>
        <v>0</v>
      </c>
      <c r="E722" s="11">
        <f>SK[[#This Row],[FİRE]]</f>
        <v>0</v>
      </c>
      <c r="F722" s="11">
        <f>SK[[#This Row],[EŞİT FİRE]]</f>
        <v>0</v>
      </c>
      <c r="G722" s="9">
        <f>IF(MOD(SK[[#This Row],[GEREKLİ ADET]],2)=0,SK[[#This Row],[GEREKLİ ADET]],0)</f>
        <v>0</v>
      </c>
      <c r="H722" s="9">
        <f>SK[[#This Row],[SONDAN KALAN FİRE]]</f>
        <v>0</v>
      </c>
    </row>
    <row r="723" spans="1:8" x14ac:dyDescent="0.3">
      <c r="A723" s="12">
        <f>SK[[#This Row],[TARİH]]</f>
        <v>0</v>
      </c>
      <c r="B723" s="9">
        <f>SK[[#This Row],[TÜR]]</f>
        <v>0</v>
      </c>
      <c r="C723" s="9">
        <f>SK[[#This Row],[MALZEME ]]</f>
        <v>0</v>
      </c>
      <c r="D723" s="9">
        <f>SK[[#This Row],[KALİTE]]</f>
        <v>0</v>
      </c>
      <c r="E723" s="11">
        <f>SK[[#This Row],[FİRE]]</f>
        <v>0</v>
      </c>
      <c r="F723" s="11">
        <f>SK[[#This Row],[EŞİT FİRE]]</f>
        <v>0</v>
      </c>
      <c r="G723" s="9">
        <f>IF(MOD(SK[[#This Row],[GEREKLİ ADET]],2)=0,SK[[#This Row],[GEREKLİ ADET]],0)</f>
        <v>0</v>
      </c>
      <c r="H723" s="9">
        <f>SK[[#This Row],[SONDAN KALAN FİRE]]</f>
        <v>0</v>
      </c>
    </row>
    <row r="724" spans="1:8" x14ac:dyDescent="0.3">
      <c r="A724" s="12">
        <f>SK[[#This Row],[TARİH]]</f>
        <v>0</v>
      </c>
      <c r="B724" s="9">
        <f>SK[[#This Row],[TÜR]]</f>
        <v>0</v>
      </c>
      <c r="C724" s="9">
        <f>SK[[#This Row],[MALZEME ]]</f>
        <v>0</v>
      </c>
      <c r="D724" s="9">
        <f>SK[[#This Row],[KALİTE]]</f>
        <v>0</v>
      </c>
      <c r="E724" s="11">
        <f>SK[[#This Row],[FİRE]]</f>
        <v>0</v>
      </c>
      <c r="F724" s="11">
        <f>SK[[#This Row],[EŞİT FİRE]]</f>
        <v>0</v>
      </c>
      <c r="G724" s="9">
        <f>IF(MOD(SK[[#This Row],[GEREKLİ ADET]],2)=0,SK[[#This Row],[GEREKLİ ADET]],0)</f>
        <v>0</v>
      </c>
      <c r="H724" s="9">
        <f>SK[[#This Row],[SONDAN KALAN FİRE]]</f>
        <v>0</v>
      </c>
    </row>
    <row r="725" spans="1:8" x14ac:dyDescent="0.3">
      <c r="A725" s="12">
        <f>SK[[#This Row],[TARİH]]</f>
        <v>0</v>
      </c>
      <c r="B725" s="9">
        <f>SK[[#This Row],[TÜR]]</f>
        <v>0</v>
      </c>
      <c r="C725" s="9">
        <f>SK[[#This Row],[MALZEME ]]</f>
        <v>0</v>
      </c>
      <c r="D725" s="9">
        <f>SK[[#This Row],[KALİTE]]</f>
        <v>0</v>
      </c>
      <c r="E725" s="11">
        <f>SK[[#This Row],[FİRE]]</f>
        <v>0</v>
      </c>
      <c r="F725" s="11">
        <f>SK[[#This Row],[EŞİT FİRE]]</f>
        <v>0</v>
      </c>
      <c r="G725" s="9">
        <f>IF(MOD(SK[[#This Row],[GEREKLİ ADET]],2)=0,SK[[#This Row],[GEREKLİ ADET]],0)</f>
        <v>0</v>
      </c>
      <c r="H725" s="9">
        <f>SK[[#This Row],[SONDAN KALAN FİRE]]</f>
        <v>0</v>
      </c>
    </row>
    <row r="726" spans="1:8" x14ac:dyDescent="0.3">
      <c r="A726" s="12">
        <f>SK[[#This Row],[TARİH]]</f>
        <v>0</v>
      </c>
      <c r="B726" s="9">
        <f>SK[[#This Row],[TÜR]]</f>
        <v>0</v>
      </c>
      <c r="C726" s="9">
        <f>SK[[#This Row],[MALZEME ]]</f>
        <v>0</v>
      </c>
      <c r="D726" s="9">
        <f>SK[[#This Row],[KALİTE]]</f>
        <v>0</v>
      </c>
      <c r="E726" s="11">
        <f>SK[[#This Row],[FİRE]]</f>
        <v>0</v>
      </c>
      <c r="F726" s="11">
        <f>SK[[#This Row],[EŞİT FİRE]]</f>
        <v>0</v>
      </c>
      <c r="G726" s="9">
        <f>IF(MOD(SK[[#This Row],[GEREKLİ ADET]],2)=0,SK[[#This Row],[GEREKLİ ADET]],0)</f>
        <v>0</v>
      </c>
      <c r="H726" s="9">
        <f>SK[[#This Row],[SONDAN KALAN FİRE]]</f>
        <v>0</v>
      </c>
    </row>
    <row r="727" spans="1:8" x14ac:dyDescent="0.3">
      <c r="A727" s="12">
        <f>SK[[#This Row],[TARİH]]</f>
        <v>0</v>
      </c>
      <c r="B727" s="9">
        <f>SK[[#This Row],[TÜR]]</f>
        <v>0</v>
      </c>
      <c r="C727" s="9">
        <f>SK[[#This Row],[MALZEME ]]</f>
        <v>0</v>
      </c>
      <c r="D727" s="9">
        <f>SK[[#This Row],[KALİTE]]</f>
        <v>0</v>
      </c>
      <c r="E727" s="11">
        <f>SK[[#This Row],[FİRE]]</f>
        <v>0</v>
      </c>
      <c r="F727" s="11">
        <f>SK[[#This Row],[EŞİT FİRE]]</f>
        <v>0</v>
      </c>
      <c r="G727" s="9">
        <f>IF(MOD(SK[[#This Row],[GEREKLİ ADET]],2)=0,SK[[#This Row],[GEREKLİ ADET]],0)</f>
        <v>0</v>
      </c>
      <c r="H727" s="9">
        <f>SK[[#This Row],[SONDAN KALAN FİRE]]</f>
        <v>0</v>
      </c>
    </row>
    <row r="728" spans="1:8" x14ac:dyDescent="0.3">
      <c r="A728" s="12">
        <f>SK[[#This Row],[TARİH]]</f>
        <v>0</v>
      </c>
      <c r="B728" s="9">
        <f>SK[[#This Row],[TÜR]]</f>
        <v>0</v>
      </c>
      <c r="C728" s="9">
        <f>SK[[#This Row],[MALZEME ]]</f>
        <v>0</v>
      </c>
      <c r="D728" s="9">
        <f>SK[[#This Row],[KALİTE]]</f>
        <v>0</v>
      </c>
      <c r="E728" s="11">
        <f>SK[[#This Row],[FİRE]]</f>
        <v>0</v>
      </c>
      <c r="F728" s="11">
        <f>SK[[#This Row],[EŞİT FİRE]]</f>
        <v>0</v>
      </c>
      <c r="G728" s="9">
        <f>IF(MOD(SK[[#This Row],[GEREKLİ ADET]],2)=0,SK[[#This Row],[GEREKLİ ADET]],0)</f>
        <v>0</v>
      </c>
      <c r="H728" s="9">
        <f>SK[[#This Row],[SONDAN KALAN FİRE]]</f>
        <v>0</v>
      </c>
    </row>
    <row r="729" spans="1:8" x14ac:dyDescent="0.3">
      <c r="A729" s="12">
        <f>SK[[#This Row],[TARİH]]</f>
        <v>0</v>
      </c>
      <c r="B729" s="9">
        <f>SK[[#This Row],[TÜR]]</f>
        <v>0</v>
      </c>
      <c r="C729" s="9">
        <f>SK[[#This Row],[MALZEME ]]</f>
        <v>0</v>
      </c>
      <c r="D729" s="9">
        <f>SK[[#This Row],[KALİTE]]</f>
        <v>0</v>
      </c>
      <c r="E729" s="11">
        <f>SK[[#This Row],[FİRE]]</f>
        <v>0</v>
      </c>
      <c r="F729" s="11">
        <f>SK[[#This Row],[EŞİT FİRE]]</f>
        <v>0</v>
      </c>
      <c r="G729" s="9">
        <f>IF(MOD(SK[[#This Row],[GEREKLİ ADET]],2)=0,SK[[#This Row],[GEREKLİ ADET]],0)</f>
        <v>0</v>
      </c>
      <c r="H729" s="9">
        <f>SK[[#This Row],[SONDAN KALAN FİRE]]</f>
        <v>0</v>
      </c>
    </row>
    <row r="730" spans="1:8" x14ac:dyDescent="0.3">
      <c r="A730" s="12">
        <f>SK[[#This Row],[TARİH]]</f>
        <v>0</v>
      </c>
      <c r="B730" s="9">
        <f>SK[[#This Row],[TÜR]]</f>
        <v>0</v>
      </c>
      <c r="C730" s="9">
        <f>SK[[#This Row],[MALZEME ]]</f>
        <v>0</v>
      </c>
      <c r="D730" s="9">
        <f>SK[[#This Row],[KALİTE]]</f>
        <v>0</v>
      </c>
      <c r="E730" s="11">
        <f>SK[[#This Row],[FİRE]]</f>
        <v>0</v>
      </c>
      <c r="F730" s="11">
        <f>SK[[#This Row],[EŞİT FİRE]]</f>
        <v>0</v>
      </c>
      <c r="G730" s="9">
        <f>IF(MOD(SK[[#This Row],[GEREKLİ ADET]],2)=0,SK[[#This Row],[GEREKLİ ADET]],0)</f>
        <v>0</v>
      </c>
      <c r="H730" s="9">
        <f>SK[[#This Row],[SONDAN KALAN FİRE]]</f>
        <v>0</v>
      </c>
    </row>
    <row r="731" spans="1:8" x14ac:dyDescent="0.3">
      <c r="A731" s="12">
        <f>SK[[#This Row],[TARİH]]</f>
        <v>0</v>
      </c>
      <c r="B731" s="9">
        <f>SK[[#This Row],[TÜR]]</f>
        <v>0</v>
      </c>
      <c r="C731" s="9">
        <f>SK[[#This Row],[MALZEME ]]</f>
        <v>0</v>
      </c>
      <c r="D731" s="9">
        <f>SK[[#This Row],[KALİTE]]</f>
        <v>0</v>
      </c>
      <c r="E731" s="11">
        <f>SK[[#This Row],[FİRE]]</f>
        <v>0</v>
      </c>
      <c r="F731" s="11">
        <f>SK[[#This Row],[EŞİT FİRE]]</f>
        <v>0</v>
      </c>
      <c r="G731" s="9">
        <f>IF(MOD(SK[[#This Row],[GEREKLİ ADET]],2)=0,SK[[#This Row],[GEREKLİ ADET]],0)</f>
        <v>0</v>
      </c>
      <c r="H731" s="9">
        <f>SK[[#This Row],[SONDAN KALAN FİRE]]</f>
        <v>0</v>
      </c>
    </row>
    <row r="732" spans="1:8" x14ac:dyDescent="0.3">
      <c r="A732" s="12">
        <f>SK[[#This Row],[TARİH]]</f>
        <v>0</v>
      </c>
      <c r="B732" s="9">
        <f>SK[[#This Row],[TÜR]]</f>
        <v>0</v>
      </c>
      <c r="C732" s="9">
        <f>SK[[#This Row],[MALZEME ]]</f>
        <v>0</v>
      </c>
      <c r="D732" s="9">
        <f>SK[[#This Row],[KALİTE]]</f>
        <v>0</v>
      </c>
      <c r="E732" s="11">
        <f>SK[[#This Row],[FİRE]]</f>
        <v>0</v>
      </c>
      <c r="F732" s="11">
        <f>SK[[#This Row],[EŞİT FİRE]]</f>
        <v>0</v>
      </c>
      <c r="G732" s="9">
        <f>IF(MOD(SK[[#This Row],[GEREKLİ ADET]],2)=0,SK[[#This Row],[GEREKLİ ADET]],0)</f>
        <v>0</v>
      </c>
      <c r="H732" s="9">
        <f>SK[[#This Row],[SONDAN KALAN FİRE]]</f>
        <v>0</v>
      </c>
    </row>
    <row r="733" spans="1:8" x14ac:dyDescent="0.3">
      <c r="A733" s="12">
        <f>SK[[#This Row],[TARİH]]</f>
        <v>0</v>
      </c>
      <c r="B733" s="9">
        <f>SK[[#This Row],[TÜR]]</f>
        <v>0</v>
      </c>
      <c r="C733" s="9">
        <f>SK[[#This Row],[MALZEME ]]</f>
        <v>0</v>
      </c>
      <c r="D733" s="9">
        <f>SK[[#This Row],[KALİTE]]</f>
        <v>0</v>
      </c>
      <c r="E733" s="11">
        <f>SK[[#This Row],[FİRE]]</f>
        <v>0</v>
      </c>
      <c r="F733" s="11">
        <f>SK[[#This Row],[EŞİT FİRE]]</f>
        <v>0</v>
      </c>
      <c r="G733" s="9">
        <f>IF(MOD(SK[[#This Row],[GEREKLİ ADET]],2)=0,SK[[#This Row],[GEREKLİ ADET]],0)</f>
        <v>0</v>
      </c>
      <c r="H733" s="9">
        <f>SK[[#This Row],[SONDAN KALAN FİRE]]</f>
        <v>0</v>
      </c>
    </row>
    <row r="734" spans="1:8" x14ac:dyDescent="0.3">
      <c r="A734" s="12">
        <f>SK[[#This Row],[TARİH]]</f>
        <v>0</v>
      </c>
      <c r="B734" s="9">
        <f>SK[[#This Row],[TÜR]]</f>
        <v>0</v>
      </c>
      <c r="C734" s="9">
        <f>SK[[#This Row],[MALZEME ]]</f>
        <v>0</v>
      </c>
      <c r="D734" s="9">
        <f>SK[[#This Row],[KALİTE]]</f>
        <v>0</v>
      </c>
      <c r="E734" s="11">
        <f>SK[[#This Row],[FİRE]]</f>
        <v>0</v>
      </c>
      <c r="F734" s="11">
        <f>SK[[#This Row],[EŞİT FİRE]]</f>
        <v>0</v>
      </c>
      <c r="G734" s="9">
        <f>IF(MOD(SK[[#This Row],[GEREKLİ ADET]],2)=0,SK[[#This Row],[GEREKLİ ADET]],0)</f>
        <v>0</v>
      </c>
      <c r="H734" s="9">
        <f>SK[[#This Row],[SONDAN KALAN FİRE]]</f>
        <v>0</v>
      </c>
    </row>
    <row r="735" spans="1:8" x14ac:dyDescent="0.3">
      <c r="A735" s="12">
        <f>SK[[#This Row],[TARİH]]</f>
        <v>0</v>
      </c>
      <c r="B735" s="9">
        <f>SK[[#This Row],[TÜR]]</f>
        <v>0</v>
      </c>
      <c r="C735" s="9">
        <f>SK[[#This Row],[MALZEME ]]</f>
        <v>0</v>
      </c>
      <c r="D735" s="9">
        <f>SK[[#This Row],[KALİTE]]</f>
        <v>0</v>
      </c>
      <c r="E735" s="11">
        <f>SK[[#This Row],[FİRE]]</f>
        <v>0</v>
      </c>
      <c r="F735" s="11">
        <f>SK[[#This Row],[EŞİT FİRE]]</f>
        <v>0</v>
      </c>
      <c r="G735" s="9">
        <f>IF(MOD(SK[[#This Row],[GEREKLİ ADET]],2)=0,SK[[#This Row],[GEREKLİ ADET]],0)</f>
        <v>0</v>
      </c>
      <c r="H735" s="9">
        <f>SK[[#This Row],[SONDAN KALAN FİRE]]</f>
        <v>0</v>
      </c>
    </row>
    <row r="736" spans="1:8" x14ac:dyDescent="0.3">
      <c r="A736" s="12">
        <f>SK[[#This Row],[TARİH]]</f>
        <v>0</v>
      </c>
      <c r="B736" s="9">
        <f>SK[[#This Row],[TÜR]]</f>
        <v>0</v>
      </c>
      <c r="C736" s="9">
        <f>SK[[#This Row],[MALZEME ]]</f>
        <v>0</v>
      </c>
      <c r="D736" s="9">
        <f>SK[[#This Row],[KALİTE]]</f>
        <v>0</v>
      </c>
      <c r="E736" s="11">
        <f>SK[[#This Row],[FİRE]]</f>
        <v>0</v>
      </c>
      <c r="F736" s="11">
        <f>SK[[#This Row],[EŞİT FİRE]]</f>
        <v>0</v>
      </c>
      <c r="G736" s="9">
        <f>IF(MOD(SK[[#This Row],[GEREKLİ ADET]],2)=0,SK[[#This Row],[GEREKLİ ADET]],0)</f>
        <v>0</v>
      </c>
      <c r="H736" s="9">
        <f>SK[[#This Row],[SONDAN KALAN FİRE]]</f>
        <v>0</v>
      </c>
    </row>
    <row r="737" spans="1:8" x14ac:dyDescent="0.3">
      <c r="A737" s="12">
        <f>SK[[#This Row],[TARİH]]</f>
        <v>0</v>
      </c>
      <c r="B737" s="9">
        <f>SK[[#This Row],[TÜR]]</f>
        <v>0</v>
      </c>
      <c r="C737" s="9">
        <f>SK[[#This Row],[MALZEME ]]</f>
        <v>0</v>
      </c>
      <c r="D737" s="9">
        <f>SK[[#This Row],[KALİTE]]</f>
        <v>0</v>
      </c>
      <c r="E737" s="11">
        <f>SK[[#This Row],[FİRE]]</f>
        <v>0</v>
      </c>
      <c r="F737" s="11">
        <f>SK[[#This Row],[EŞİT FİRE]]</f>
        <v>0</v>
      </c>
      <c r="G737" s="9">
        <f>IF(MOD(SK[[#This Row],[GEREKLİ ADET]],2)=0,SK[[#This Row],[GEREKLİ ADET]],0)</f>
        <v>0</v>
      </c>
      <c r="H737" s="9">
        <f>SK[[#This Row],[SONDAN KALAN FİRE]]</f>
        <v>0</v>
      </c>
    </row>
    <row r="738" spans="1:8" x14ac:dyDescent="0.3">
      <c r="A738" s="12">
        <f>SK[[#This Row],[TARİH]]</f>
        <v>0</v>
      </c>
      <c r="B738" s="9">
        <f>SK[[#This Row],[TÜR]]</f>
        <v>0</v>
      </c>
      <c r="C738" s="9">
        <f>SK[[#This Row],[MALZEME ]]</f>
        <v>0</v>
      </c>
      <c r="D738" s="9">
        <f>SK[[#This Row],[KALİTE]]</f>
        <v>0</v>
      </c>
      <c r="E738" s="11">
        <f>SK[[#This Row],[FİRE]]</f>
        <v>0</v>
      </c>
      <c r="F738" s="11">
        <f>SK[[#This Row],[EŞİT FİRE]]</f>
        <v>0</v>
      </c>
      <c r="G738" s="9">
        <f>IF(MOD(SK[[#This Row],[GEREKLİ ADET]],2)=0,SK[[#This Row],[GEREKLİ ADET]],0)</f>
        <v>0</v>
      </c>
      <c r="H738" s="9">
        <f>SK[[#This Row],[SONDAN KALAN FİRE]]</f>
        <v>0</v>
      </c>
    </row>
    <row r="739" spans="1:8" x14ac:dyDescent="0.3">
      <c r="A739" s="12">
        <f>SK[[#This Row],[TARİH]]</f>
        <v>0</v>
      </c>
      <c r="B739" s="9">
        <f>SK[[#This Row],[TÜR]]</f>
        <v>0</v>
      </c>
      <c r="C739" s="9">
        <f>SK[[#This Row],[MALZEME ]]</f>
        <v>0</v>
      </c>
      <c r="D739" s="9">
        <f>SK[[#This Row],[KALİTE]]</f>
        <v>0</v>
      </c>
      <c r="E739" s="11">
        <f>SK[[#This Row],[FİRE]]</f>
        <v>0</v>
      </c>
      <c r="F739" s="11">
        <f>SK[[#This Row],[EŞİT FİRE]]</f>
        <v>0</v>
      </c>
      <c r="G739" s="9">
        <f>IF(MOD(SK[[#This Row],[GEREKLİ ADET]],2)=0,SK[[#This Row],[GEREKLİ ADET]],0)</f>
        <v>0</v>
      </c>
      <c r="H739" s="9">
        <f>SK[[#This Row],[SONDAN KALAN FİRE]]</f>
        <v>0</v>
      </c>
    </row>
    <row r="740" spans="1:8" x14ac:dyDescent="0.3">
      <c r="A740" s="12">
        <f>SK[[#This Row],[TARİH]]</f>
        <v>0</v>
      </c>
      <c r="B740" s="9">
        <f>SK[[#This Row],[TÜR]]</f>
        <v>0</v>
      </c>
      <c r="C740" s="9">
        <f>SK[[#This Row],[MALZEME ]]</f>
        <v>0</v>
      </c>
      <c r="D740" s="9">
        <f>SK[[#This Row],[KALİTE]]</f>
        <v>0</v>
      </c>
      <c r="E740" s="11">
        <f>SK[[#This Row],[FİRE]]</f>
        <v>0</v>
      </c>
      <c r="F740" s="11">
        <f>SK[[#This Row],[EŞİT FİRE]]</f>
        <v>0</v>
      </c>
      <c r="G740" s="9">
        <f>IF(MOD(SK[[#This Row],[GEREKLİ ADET]],2)=0,SK[[#This Row],[GEREKLİ ADET]],0)</f>
        <v>0</v>
      </c>
      <c r="H740" s="9">
        <f>SK[[#This Row],[SONDAN KALAN FİRE]]</f>
        <v>0</v>
      </c>
    </row>
    <row r="741" spans="1:8" x14ac:dyDescent="0.3">
      <c r="A741" s="12">
        <f>SK[[#This Row],[TARİH]]</f>
        <v>0</v>
      </c>
      <c r="B741" s="9">
        <f>SK[[#This Row],[TÜR]]</f>
        <v>0</v>
      </c>
      <c r="C741" s="9">
        <f>SK[[#This Row],[MALZEME ]]</f>
        <v>0</v>
      </c>
      <c r="D741" s="9">
        <f>SK[[#This Row],[KALİTE]]</f>
        <v>0</v>
      </c>
      <c r="E741" s="11">
        <f>SK[[#This Row],[FİRE]]</f>
        <v>0</v>
      </c>
      <c r="F741" s="11">
        <f>SK[[#This Row],[EŞİT FİRE]]</f>
        <v>0</v>
      </c>
      <c r="G741" s="9">
        <f>IF(MOD(SK[[#This Row],[GEREKLİ ADET]],2)=0,SK[[#This Row],[GEREKLİ ADET]],0)</f>
        <v>0</v>
      </c>
      <c r="H741" s="9">
        <f>SK[[#This Row],[SONDAN KALAN FİRE]]</f>
        <v>0</v>
      </c>
    </row>
    <row r="742" spans="1:8" x14ac:dyDescent="0.3">
      <c r="A742" s="12">
        <f>SK[[#This Row],[TARİH]]</f>
        <v>0</v>
      </c>
      <c r="B742" s="9">
        <f>SK[[#This Row],[TÜR]]</f>
        <v>0</v>
      </c>
      <c r="C742" s="9">
        <f>SK[[#This Row],[MALZEME ]]</f>
        <v>0</v>
      </c>
      <c r="D742" s="9">
        <f>SK[[#This Row],[KALİTE]]</f>
        <v>0</v>
      </c>
      <c r="E742" s="11">
        <f>SK[[#This Row],[FİRE]]</f>
        <v>0</v>
      </c>
      <c r="F742" s="11">
        <f>SK[[#This Row],[EŞİT FİRE]]</f>
        <v>0</v>
      </c>
      <c r="G742" s="9">
        <f>IF(MOD(SK[[#This Row],[GEREKLİ ADET]],2)=0,SK[[#This Row],[GEREKLİ ADET]],0)</f>
        <v>0</v>
      </c>
      <c r="H742" s="9">
        <f>SK[[#This Row],[SONDAN KALAN FİRE]]</f>
        <v>0</v>
      </c>
    </row>
    <row r="743" spans="1:8" x14ac:dyDescent="0.3">
      <c r="A743" s="12">
        <f>SK[[#This Row],[TARİH]]</f>
        <v>0</v>
      </c>
      <c r="B743" s="9">
        <f>SK[[#This Row],[TÜR]]</f>
        <v>0</v>
      </c>
      <c r="C743" s="9">
        <f>SK[[#This Row],[MALZEME ]]</f>
        <v>0</v>
      </c>
      <c r="D743" s="9">
        <f>SK[[#This Row],[KALİTE]]</f>
        <v>0</v>
      </c>
      <c r="E743" s="11">
        <f>SK[[#This Row],[FİRE]]</f>
        <v>0</v>
      </c>
      <c r="F743" s="11">
        <f>SK[[#This Row],[EŞİT FİRE]]</f>
        <v>0</v>
      </c>
      <c r="G743" s="9">
        <f>IF(MOD(SK[[#This Row],[GEREKLİ ADET]],2)=0,SK[[#This Row],[GEREKLİ ADET]],0)</f>
        <v>0</v>
      </c>
      <c r="H743" s="9">
        <f>SK[[#This Row],[SONDAN KALAN FİRE]]</f>
        <v>0</v>
      </c>
    </row>
    <row r="744" spans="1:8" x14ac:dyDescent="0.3">
      <c r="A744" s="12">
        <f>SK[[#This Row],[TARİH]]</f>
        <v>0</v>
      </c>
      <c r="B744" s="9">
        <f>SK[[#This Row],[TÜR]]</f>
        <v>0</v>
      </c>
      <c r="C744" s="9">
        <f>SK[[#This Row],[MALZEME ]]</f>
        <v>0</v>
      </c>
      <c r="D744" s="9">
        <f>SK[[#This Row],[KALİTE]]</f>
        <v>0</v>
      </c>
      <c r="E744" s="11">
        <f>SK[[#This Row],[FİRE]]</f>
        <v>0</v>
      </c>
      <c r="F744" s="11">
        <f>SK[[#This Row],[EŞİT FİRE]]</f>
        <v>0</v>
      </c>
      <c r="G744" s="9">
        <f>IF(MOD(SK[[#This Row],[GEREKLİ ADET]],2)=0,SK[[#This Row],[GEREKLİ ADET]],0)</f>
        <v>0</v>
      </c>
      <c r="H744" s="9">
        <f>SK[[#This Row],[SONDAN KALAN FİRE]]</f>
        <v>0</v>
      </c>
    </row>
    <row r="745" spans="1:8" x14ac:dyDescent="0.3">
      <c r="A745" s="12">
        <f>SK[[#This Row],[TARİH]]</f>
        <v>0</v>
      </c>
      <c r="B745" s="9">
        <f>SK[[#This Row],[TÜR]]</f>
        <v>0</v>
      </c>
      <c r="C745" s="9">
        <f>SK[[#This Row],[MALZEME ]]</f>
        <v>0</v>
      </c>
      <c r="D745" s="9">
        <f>SK[[#This Row],[KALİTE]]</f>
        <v>0</v>
      </c>
      <c r="E745" s="11">
        <f>SK[[#This Row],[FİRE]]</f>
        <v>0</v>
      </c>
      <c r="F745" s="11">
        <f>SK[[#This Row],[EŞİT FİRE]]</f>
        <v>0</v>
      </c>
      <c r="G745" s="9">
        <f>IF(MOD(SK[[#This Row],[GEREKLİ ADET]],2)=0,SK[[#This Row],[GEREKLİ ADET]],0)</f>
        <v>0</v>
      </c>
      <c r="H745" s="9">
        <f>SK[[#This Row],[SONDAN KALAN FİRE]]</f>
        <v>0</v>
      </c>
    </row>
    <row r="746" spans="1:8" x14ac:dyDescent="0.3">
      <c r="A746" s="12">
        <f>SK[[#This Row],[TARİH]]</f>
        <v>0</v>
      </c>
      <c r="B746" s="9">
        <f>SK[[#This Row],[TÜR]]</f>
        <v>0</v>
      </c>
      <c r="C746" s="9">
        <f>SK[[#This Row],[MALZEME ]]</f>
        <v>0</v>
      </c>
      <c r="D746" s="9">
        <f>SK[[#This Row],[KALİTE]]</f>
        <v>0</v>
      </c>
      <c r="E746" s="11">
        <f>SK[[#This Row],[FİRE]]</f>
        <v>0</v>
      </c>
      <c r="F746" s="11">
        <f>SK[[#This Row],[EŞİT FİRE]]</f>
        <v>0</v>
      </c>
      <c r="G746" s="9">
        <f>IF(MOD(SK[[#This Row],[GEREKLİ ADET]],2)=0,SK[[#This Row],[GEREKLİ ADET]],0)</f>
        <v>0</v>
      </c>
      <c r="H746" s="9">
        <f>SK[[#This Row],[SONDAN KALAN FİRE]]</f>
        <v>0</v>
      </c>
    </row>
    <row r="747" spans="1:8" x14ac:dyDescent="0.3">
      <c r="A747" s="12">
        <f>SK[[#This Row],[TARİH]]</f>
        <v>0</v>
      </c>
      <c r="B747" s="9">
        <f>SK[[#This Row],[TÜR]]</f>
        <v>0</v>
      </c>
      <c r="C747" s="9">
        <f>SK[[#This Row],[MALZEME ]]</f>
        <v>0</v>
      </c>
      <c r="D747" s="9">
        <f>SK[[#This Row],[KALİTE]]</f>
        <v>0</v>
      </c>
      <c r="E747" s="11">
        <f>SK[[#This Row],[FİRE]]</f>
        <v>0</v>
      </c>
      <c r="F747" s="11">
        <f>SK[[#This Row],[EŞİT FİRE]]</f>
        <v>0</v>
      </c>
      <c r="G747" s="9">
        <f>IF(MOD(SK[[#This Row],[GEREKLİ ADET]],2)=0,SK[[#This Row],[GEREKLİ ADET]],0)</f>
        <v>0</v>
      </c>
      <c r="H747" s="9">
        <f>SK[[#This Row],[SONDAN KALAN FİRE]]</f>
        <v>0</v>
      </c>
    </row>
    <row r="748" spans="1:8" x14ac:dyDescent="0.3">
      <c r="A748" s="12">
        <f>SK[[#This Row],[TARİH]]</f>
        <v>0</v>
      </c>
      <c r="B748" s="9">
        <f>SK[[#This Row],[TÜR]]</f>
        <v>0</v>
      </c>
      <c r="C748" s="9">
        <f>SK[[#This Row],[MALZEME ]]</f>
        <v>0</v>
      </c>
      <c r="D748" s="9">
        <f>SK[[#This Row],[KALİTE]]</f>
        <v>0</v>
      </c>
      <c r="E748" s="11">
        <f>SK[[#This Row],[FİRE]]</f>
        <v>0</v>
      </c>
      <c r="F748" s="11">
        <f>SK[[#This Row],[EŞİT FİRE]]</f>
        <v>0</v>
      </c>
      <c r="G748" s="9">
        <f>IF(MOD(SK[[#This Row],[GEREKLİ ADET]],2)=0,SK[[#This Row],[GEREKLİ ADET]],0)</f>
        <v>0</v>
      </c>
      <c r="H748" s="9">
        <f>SK[[#This Row],[SONDAN KALAN FİRE]]</f>
        <v>0</v>
      </c>
    </row>
    <row r="749" spans="1:8" x14ac:dyDescent="0.3">
      <c r="A749" s="12">
        <f>SK[[#This Row],[TARİH]]</f>
        <v>0</v>
      </c>
      <c r="B749" s="9">
        <f>SK[[#This Row],[TÜR]]</f>
        <v>0</v>
      </c>
      <c r="C749" s="9">
        <f>SK[[#This Row],[MALZEME ]]</f>
        <v>0</v>
      </c>
      <c r="D749" s="9">
        <f>SK[[#This Row],[KALİTE]]</f>
        <v>0</v>
      </c>
      <c r="E749" s="11">
        <f>SK[[#This Row],[FİRE]]</f>
        <v>0</v>
      </c>
      <c r="F749" s="11">
        <f>SK[[#This Row],[EŞİT FİRE]]</f>
        <v>0</v>
      </c>
      <c r="G749" s="9">
        <f>IF(MOD(SK[[#This Row],[GEREKLİ ADET]],2)=0,SK[[#This Row],[GEREKLİ ADET]],0)</f>
        <v>0</v>
      </c>
      <c r="H749" s="9">
        <f>SK[[#This Row],[SONDAN KALAN FİRE]]</f>
        <v>0</v>
      </c>
    </row>
    <row r="750" spans="1:8" x14ac:dyDescent="0.3">
      <c r="A750" s="12">
        <f>SK[[#This Row],[TARİH]]</f>
        <v>0</v>
      </c>
      <c r="B750" s="9">
        <f>SK[[#This Row],[TÜR]]</f>
        <v>0</v>
      </c>
      <c r="C750" s="9">
        <f>SK[[#This Row],[MALZEME ]]</f>
        <v>0</v>
      </c>
      <c r="D750" s="9">
        <f>SK[[#This Row],[KALİTE]]</f>
        <v>0</v>
      </c>
      <c r="E750" s="11">
        <f>SK[[#This Row],[FİRE]]</f>
        <v>0</v>
      </c>
      <c r="F750" s="11">
        <f>SK[[#This Row],[EŞİT FİRE]]</f>
        <v>0</v>
      </c>
      <c r="G750" s="9">
        <f>IF(MOD(SK[[#This Row],[GEREKLİ ADET]],2)=0,SK[[#This Row],[GEREKLİ ADET]],0)</f>
        <v>0</v>
      </c>
      <c r="H750" s="9">
        <f>SK[[#This Row],[SONDAN KALAN FİRE]]</f>
        <v>0</v>
      </c>
    </row>
    <row r="751" spans="1:8" x14ac:dyDescent="0.3">
      <c r="A751" s="12">
        <f>SK[[#This Row],[TARİH]]</f>
        <v>0</v>
      </c>
      <c r="B751" s="9">
        <f>SK[[#This Row],[TÜR]]</f>
        <v>0</v>
      </c>
      <c r="C751" s="9">
        <f>SK[[#This Row],[MALZEME ]]</f>
        <v>0</v>
      </c>
      <c r="D751" s="9">
        <f>SK[[#This Row],[KALİTE]]</f>
        <v>0</v>
      </c>
      <c r="E751" s="11">
        <f>SK[[#This Row],[FİRE]]</f>
        <v>0</v>
      </c>
      <c r="F751" s="11">
        <f>SK[[#This Row],[EŞİT FİRE]]</f>
        <v>0</v>
      </c>
      <c r="G751" s="9">
        <f>IF(MOD(SK[[#This Row],[GEREKLİ ADET]],2)=0,SK[[#This Row],[GEREKLİ ADET]],0)</f>
        <v>0</v>
      </c>
      <c r="H751" s="9">
        <f>SK[[#This Row],[SONDAN KALAN FİRE]]</f>
        <v>0</v>
      </c>
    </row>
    <row r="752" spans="1:8" x14ac:dyDescent="0.3">
      <c r="A752" s="12">
        <f>SK[[#This Row],[TARİH]]</f>
        <v>0</v>
      </c>
      <c r="B752" s="9">
        <f>SK[[#This Row],[TÜR]]</f>
        <v>0</v>
      </c>
      <c r="C752" s="9">
        <f>SK[[#This Row],[MALZEME ]]</f>
        <v>0</v>
      </c>
      <c r="D752" s="9">
        <f>SK[[#This Row],[KALİTE]]</f>
        <v>0</v>
      </c>
      <c r="E752" s="11">
        <f>SK[[#This Row],[FİRE]]</f>
        <v>0</v>
      </c>
      <c r="F752" s="11">
        <f>SK[[#This Row],[EŞİT FİRE]]</f>
        <v>0</v>
      </c>
      <c r="G752" s="9">
        <f>IF(MOD(SK[[#This Row],[GEREKLİ ADET]],2)=0,SK[[#This Row],[GEREKLİ ADET]],0)</f>
        <v>0</v>
      </c>
      <c r="H752" s="9">
        <f>SK[[#This Row],[SONDAN KALAN FİRE]]</f>
        <v>0</v>
      </c>
    </row>
    <row r="753" spans="1:8" x14ac:dyDescent="0.3">
      <c r="A753" s="12">
        <f>SK[[#This Row],[TARİH]]</f>
        <v>0</v>
      </c>
      <c r="B753" s="9">
        <f>SK[[#This Row],[TÜR]]</f>
        <v>0</v>
      </c>
      <c r="C753" s="9">
        <f>SK[[#This Row],[MALZEME ]]</f>
        <v>0</v>
      </c>
      <c r="D753" s="9">
        <f>SK[[#This Row],[KALİTE]]</f>
        <v>0</v>
      </c>
      <c r="E753" s="11">
        <f>SK[[#This Row],[FİRE]]</f>
        <v>0</v>
      </c>
      <c r="F753" s="11">
        <f>SK[[#This Row],[EŞİT FİRE]]</f>
        <v>0</v>
      </c>
      <c r="G753" s="9">
        <f>IF(MOD(SK[[#This Row],[GEREKLİ ADET]],2)=0,SK[[#This Row],[GEREKLİ ADET]],0)</f>
        <v>0</v>
      </c>
      <c r="H753" s="9">
        <f>SK[[#This Row],[SONDAN KALAN FİRE]]</f>
        <v>0</v>
      </c>
    </row>
    <row r="754" spans="1:8" x14ac:dyDescent="0.3">
      <c r="A754" s="12">
        <f>SK[[#This Row],[TARİH]]</f>
        <v>0</v>
      </c>
      <c r="B754" s="9">
        <f>SK[[#This Row],[TÜR]]</f>
        <v>0</v>
      </c>
      <c r="C754" s="9">
        <f>SK[[#This Row],[MALZEME ]]</f>
        <v>0</v>
      </c>
      <c r="D754" s="9">
        <f>SK[[#This Row],[KALİTE]]</f>
        <v>0</v>
      </c>
      <c r="E754" s="11">
        <f>SK[[#This Row],[FİRE]]</f>
        <v>0</v>
      </c>
      <c r="F754" s="11">
        <f>SK[[#This Row],[EŞİT FİRE]]</f>
        <v>0</v>
      </c>
      <c r="G754" s="9">
        <f>IF(MOD(SK[[#This Row],[GEREKLİ ADET]],2)=0,SK[[#This Row],[GEREKLİ ADET]],0)</f>
        <v>0</v>
      </c>
      <c r="H754" s="9">
        <f>SK[[#This Row],[SONDAN KALAN FİRE]]</f>
        <v>0</v>
      </c>
    </row>
    <row r="755" spans="1:8" x14ac:dyDescent="0.3">
      <c r="A755" s="12">
        <f>SK[[#This Row],[TARİH]]</f>
        <v>0</v>
      </c>
      <c r="B755" s="9">
        <f>SK[[#This Row],[TÜR]]</f>
        <v>0</v>
      </c>
      <c r="C755" s="9">
        <f>SK[[#This Row],[MALZEME ]]</f>
        <v>0</v>
      </c>
      <c r="D755" s="9">
        <f>SK[[#This Row],[KALİTE]]</f>
        <v>0</v>
      </c>
      <c r="E755" s="11">
        <f>SK[[#This Row],[FİRE]]</f>
        <v>0</v>
      </c>
      <c r="F755" s="11">
        <f>SK[[#This Row],[EŞİT FİRE]]</f>
        <v>0</v>
      </c>
      <c r="G755" s="9">
        <f>IF(MOD(SK[[#This Row],[GEREKLİ ADET]],2)=0,SK[[#This Row],[GEREKLİ ADET]],0)</f>
        <v>0</v>
      </c>
      <c r="H755" s="9">
        <f>SK[[#This Row],[SONDAN KALAN FİRE]]</f>
        <v>0</v>
      </c>
    </row>
    <row r="756" spans="1:8" x14ac:dyDescent="0.3">
      <c r="A756" s="12">
        <f>SK[[#This Row],[TARİH]]</f>
        <v>0</v>
      </c>
      <c r="B756" s="9">
        <f>SK[[#This Row],[TÜR]]</f>
        <v>0</v>
      </c>
      <c r="C756" s="9">
        <f>SK[[#This Row],[MALZEME ]]</f>
        <v>0</v>
      </c>
      <c r="D756" s="9">
        <f>SK[[#This Row],[KALİTE]]</f>
        <v>0</v>
      </c>
      <c r="E756" s="11">
        <f>SK[[#This Row],[FİRE]]</f>
        <v>0</v>
      </c>
      <c r="F756" s="11">
        <f>SK[[#This Row],[EŞİT FİRE]]</f>
        <v>0</v>
      </c>
      <c r="G756" s="9">
        <f>IF(MOD(SK[[#This Row],[GEREKLİ ADET]],2)=0,SK[[#This Row],[GEREKLİ ADET]],0)</f>
        <v>0</v>
      </c>
      <c r="H756" s="9">
        <f>SK[[#This Row],[SONDAN KALAN FİRE]]</f>
        <v>0</v>
      </c>
    </row>
    <row r="757" spans="1:8" x14ac:dyDescent="0.3">
      <c r="A757" s="12">
        <f>SK[[#This Row],[TARİH]]</f>
        <v>0</v>
      </c>
      <c r="B757" s="9">
        <f>SK[[#This Row],[TÜR]]</f>
        <v>0</v>
      </c>
      <c r="C757" s="9">
        <f>SK[[#This Row],[MALZEME ]]</f>
        <v>0</v>
      </c>
      <c r="D757" s="9">
        <f>SK[[#This Row],[KALİTE]]</f>
        <v>0</v>
      </c>
      <c r="E757" s="11">
        <f>SK[[#This Row],[FİRE]]</f>
        <v>0</v>
      </c>
      <c r="F757" s="11">
        <f>SK[[#This Row],[EŞİT FİRE]]</f>
        <v>0</v>
      </c>
      <c r="G757" s="9">
        <f>IF(MOD(SK[[#This Row],[GEREKLİ ADET]],2)=0,SK[[#This Row],[GEREKLİ ADET]],0)</f>
        <v>0</v>
      </c>
      <c r="H757" s="9">
        <f>SK[[#This Row],[SONDAN KALAN FİRE]]</f>
        <v>0</v>
      </c>
    </row>
    <row r="758" spans="1:8" x14ac:dyDescent="0.3">
      <c r="A758" s="12">
        <f>SK[[#This Row],[TARİH]]</f>
        <v>0</v>
      </c>
      <c r="B758" s="9">
        <f>SK[[#This Row],[TÜR]]</f>
        <v>0</v>
      </c>
      <c r="C758" s="9">
        <f>SK[[#This Row],[MALZEME ]]</f>
        <v>0</v>
      </c>
      <c r="D758" s="9">
        <f>SK[[#This Row],[KALİTE]]</f>
        <v>0</v>
      </c>
      <c r="E758" s="11">
        <f>SK[[#This Row],[FİRE]]</f>
        <v>0</v>
      </c>
      <c r="F758" s="11">
        <f>SK[[#This Row],[EŞİT FİRE]]</f>
        <v>0</v>
      </c>
      <c r="G758" s="9">
        <f>IF(MOD(SK[[#This Row],[GEREKLİ ADET]],2)=0,SK[[#This Row],[GEREKLİ ADET]],0)</f>
        <v>0</v>
      </c>
      <c r="H758" s="9">
        <f>SK[[#This Row],[SONDAN KALAN FİRE]]</f>
        <v>0</v>
      </c>
    </row>
    <row r="759" spans="1:8" x14ac:dyDescent="0.3">
      <c r="A759" s="12">
        <f>SK[[#This Row],[TARİH]]</f>
        <v>0</v>
      </c>
      <c r="B759" s="9">
        <f>SK[[#This Row],[TÜR]]</f>
        <v>0</v>
      </c>
      <c r="C759" s="9">
        <f>SK[[#This Row],[MALZEME ]]</f>
        <v>0</v>
      </c>
      <c r="D759" s="9">
        <f>SK[[#This Row],[KALİTE]]</f>
        <v>0</v>
      </c>
      <c r="E759" s="11">
        <f>SK[[#This Row],[FİRE]]</f>
        <v>0</v>
      </c>
      <c r="F759" s="11">
        <f>SK[[#This Row],[EŞİT FİRE]]</f>
        <v>0</v>
      </c>
      <c r="G759" s="9">
        <f>IF(MOD(SK[[#This Row],[GEREKLİ ADET]],2)=0,SK[[#This Row],[GEREKLİ ADET]],0)</f>
        <v>0</v>
      </c>
      <c r="H759" s="9">
        <f>SK[[#This Row],[SONDAN KALAN FİRE]]</f>
        <v>0</v>
      </c>
    </row>
    <row r="760" spans="1:8" x14ac:dyDescent="0.3">
      <c r="A760" s="12">
        <f>SK[[#This Row],[TARİH]]</f>
        <v>0</v>
      </c>
      <c r="B760" s="9">
        <f>SK[[#This Row],[TÜR]]</f>
        <v>0</v>
      </c>
      <c r="C760" s="9">
        <f>SK[[#This Row],[MALZEME ]]</f>
        <v>0</v>
      </c>
      <c r="D760" s="9">
        <f>SK[[#This Row],[KALİTE]]</f>
        <v>0</v>
      </c>
      <c r="E760" s="11">
        <f>SK[[#This Row],[FİRE]]</f>
        <v>0</v>
      </c>
      <c r="F760" s="11">
        <f>SK[[#This Row],[EŞİT FİRE]]</f>
        <v>0</v>
      </c>
      <c r="G760" s="9">
        <f>IF(MOD(SK[[#This Row],[GEREKLİ ADET]],2)=0,SK[[#This Row],[GEREKLİ ADET]],0)</f>
        <v>0</v>
      </c>
      <c r="H760" s="9">
        <f>SK[[#This Row],[SONDAN KALAN FİRE]]</f>
        <v>0</v>
      </c>
    </row>
    <row r="761" spans="1:8" x14ac:dyDescent="0.3">
      <c r="A761" s="12">
        <f>SK[[#This Row],[TARİH]]</f>
        <v>0</v>
      </c>
      <c r="B761" s="9">
        <f>SK[[#This Row],[TÜR]]</f>
        <v>0</v>
      </c>
      <c r="C761" s="9">
        <f>SK[[#This Row],[MALZEME ]]</f>
        <v>0</v>
      </c>
      <c r="D761" s="9">
        <f>SK[[#This Row],[KALİTE]]</f>
        <v>0</v>
      </c>
      <c r="E761" s="11">
        <f>SK[[#This Row],[FİRE]]</f>
        <v>0</v>
      </c>
      <c r="F761" s="11">
        <f>SK[[#This Row],[EŞİT FİRE]]</f>
        <v>0</v>
      </c>
      <c r="G761" s="9">
        <f>IF(MOD(SK[[#This Row],[GEREKLİ ADET]],2)=0,SK[[#This Row],[GEREKLİ ADET]],0)</f>
        <v>0</v>
      </c>
      <c r="H761" s="9">
        <f>SK[[#This Row],[SONDAN KALAN FİRE]]</f>
        <v>0</v>
      </c>
    </row>
    <row r="762" spans="1:8" x14ac:dyDescent="0.3">
      <c r="A762" s="12">
        <f>SK[[#This Row],[TARİH]]</f>
        <v>0</v>
      </c>
      <c r="B762" s="9">
        <f>SK[[#This Row],[TÜR]]</f>
        <v>0</v>
      </c>
      <c r="C762" s="9">
        <f>SK[[#This Row],[MALZEME ]]</f>
        <v>0</v>
      </c>
      <c r="D762" s="9">
        <f>SK[[#This Row],[KALİTE]]</f>
        <v>0</v>
      </c>
      <c r="E762" s="11">
        <f>SK[[#This Row],[FİRE]]</f>
        <v>0</v>
      </c>
      <c r="F762" s="11">
        <f>SK[[#This Row],[EŞİT FİRE]]</f>
        <v>0</v>
      </c>
      <c r="G762" s="9">
        <f>IF(MOD(SK[[#This Row],[GEREKLİ ADET]],2)=0,SK[[#This Row],[GEREKLİ ADET]],0)</f>
        <v>0</v>
      </c>
      <c r="H762" s="9">
        <f>SK[[#This Row],[SONDAN KALAN FİRE]]</f>
        <v>0</v>
      </c>
    </row>
    <row r="763" spans="1:8" x14ac:dyDescent="0.3">
      <c r="A763" s="12">
        <f>SK[[#This Row],[TARİH]]</f>
        <v>0</v>
      </c>
      <c r="B763" s="9">
        <f>SK[[#This Row],[TÜR]]</f>
        <v>0</v>
      </c>
      <c r="C763" s="9">
        <f>SK[[#This Row],[MALZEME ]]</f>
        <v>0</v>
      </c>
      <c r="D763" s="9">
        <f>SK[[#This Row],[KALİTE]]</f>
        <v>0</v>
      </c>
      <c r="E763" s="11">
        <f>SK[[#This Row],[FİRE]]</f>
        <v>0</v>
      </c>
      <c r="F763" s="11">
        <f>SK[[#This Row],[EŞİT FİRE]]</f>
        <v>0</v>
      </c>
      <c r="G763" s="9">
        <f>IF(MOD(SK[[#This Row],[GEREKLİ ADET]],2)=0,SK[[#This Row],[GEREKLİ ADET]],0)</f>
        <v>0</v>
      </c>
      <c r="H763" s="9">
        <f>SK[[#This Row],[SONDAN KALAN FİRE]]</f>
        <v>0</v>
      </c>
    </row>
    <row r="764" spans="1:8" x14ac:dyDescent="0.3">
      <c r="A764" s="12">
        <f>SK[[#This Row],[TARİH]]</f>
        <v>0</v>
      </c>
      <c r="B764" s="9">
        <f>SK[[#This Row],[TÜR]]</f>
        <v>0</v>
      </c>
      <c r="C764" s="9">
        <f>SK[[#This Row],[MALZEME ]]</f>
        <v>0</v>
      </c>
      <c r="D764" s="9">
        <f>SK[[#This Row],[KALİTE]]</f>
        <v>0</v>
      </c>
      <c r="E764" s="11">
        <f>SK[[#This Row],[FİRE]]</f>
        <v>0</v>
      </c>
      <c r="F764" s="11">
        <f>SK[[#This Row],[EŞİT FİRE]]</f>
        <v>0</v>
      </c>
      <c r="G764" s="9">
        <f>IF(MOD(SK[[#This Row],[GEREKLİ ADET]],2)=0,SK[[#This Row],[GEREKLİ ADET]],0)</f>
        <v>0</v>
      </c>
      <c r="H764" s="9">
        <f>SK[[#This Row],[SONDAN KALAN FİRE]]</f>
        <v>0</v>
      </c>
    </row>
    <row r="765" spans="1:8" x14ac:dyDescent="0.3">
      <c r="A765" s="12">
        <f>SK[[#This Row],[TARİH]]</f>
        <v>0</v>
      </c>
      <c r="B765" s="9">
        <f>SK[[#This Row],[TÜR]]</f>
        <v>0</v>
      </c>
      <c r="C765" s="9">
        <f>SK[[#This Row],[MALZEME ]]</f>
        <v>0</v>
      </c>
      <c r="D765" s="9">
        <f>SK[[#This Row],[KALİTE]]</f>
        <v>0</v>
      </c>
      <c r="E765" s="11">
        <f>SK[[#This Row],[FİRE]]</f>
        <v>0</v>
      </c>
      <c r="F765" s="11">
        <f>SK[[#This Row],[EŞİT FİRE]]</f>
        <v>0</v>
      </c>
      <c r="G765" s="9">
        <f>IF(MOD(SK[[#This Row],[GEREKLİ ADET]],2)=0,SK[[#This Row],[GEREKLİ ADET]],0)</f>
        <v>0</v>
      </c>
      <c r="H765" s="9">
        <f>SK[[#This Row],[SONDAN KALAN FİRE]]</f>
        <v>0</v>
      </c>
    </row>
    <row r="766" spans="1:8" x14ac:dyDescent="0.3">
      <c r="A766" s="12">
        <f>SK[[#This Row],[TARİH]]</f>
        <v>0</v>
      </c>
      <c r="B766" s="9">
        <f>SK[[#This Row],[TÜR]]</f>
        <v>0</v>
      </c>
      <c r="C766" s="9">
        <f>SK[[#This Row],[MALZEME ]]</f>
        <v>0</v>
      </c>
      <c r="D766" s="9">
        <f>SK[[#This Row],[KALİTE]]</f>
        <v>0</v>
      </c>
      <c r="E766" s="11">
        <f>SK[[#This Row],[FİRE]]</f>
        <v>0</v>
      </c>
      <c r="F766" s="11">
        <f>SK[[#This Row],[EŞİT FİRE]]</f>
        <v>0</v>
      </c>
      <c r="G766" s="9">
        <f>IF(MOD(SK[[#This Row],[GEREKLİ ADET]],2)=0,SK[[#This Row],[GEREKLİ ADET]],0)</f>
        <v>0</v>
      </c>
      <c r="H766" s="9">
        <f>SK[[#This Row],[SONDAN KALAN FİRE]]</f>
        <v>0</v>
      </c>
    </row>
    <row r="767" spans="1:8" x14ac:dyDescent="0.3">
      <c r="A767" s="12">
        <f>SK[[#This Row],[TARİH]]</f>
        <v>0</v>
      </c>
      <c r="B767" s="9">
        <f>SK[[#This Row],[TÜR]]</f>
        <v>0</v>
      </c>
      <c r="C767" s="9">
        <f>SK[[#This Row],[MALZEME ]]</f>
        <v>0</v>
      </c>
      <c r="D767" s="9">
        <f>SK[[#This Row],[KALİTE]]</f>
        <v>0</v>
      </c>
      <c r="E767" s="11">
        <f>SK[[#This Row],[FİRE]]</f>
        <v>0</v>
      </c>
      <c r="F767" s="11">
        <f>SK[[#This Row],[EŞİT FİRE]]</f>
        <v>0</v>
      </c>
      <c r="G767" s="9">
        <f>IF(MOD(SK[[#This Row],[GEREKLİ ADET]],2)=0,SK[[#This Row],[GEREKLİ ADET]],0)</f>
        <v>0</v>
      </c>
      <c r="H767" s="9">
        <f>SK[[#This Row],[SONDAN KALAN FİRE]]</f>
        <v>0</v>
      </c>
    </row>
    <row r="768" spans="1:8" x14ac:dyDescent="0.3">
      <c r="A768" s="12">
        <f>SK[[#This Row],[TARİH]]</f>
        <v>0</v>
      </c>
      <c r="B768" s="9">
        <f>SK[[#This Row],[TÜR]]</f>
        <v>0</v>
      </c>
      <c r="C768" s="9">
        <f>SK[[#This Row],[MALZEME ]]</f>
        <v>0</v>
      </c>
      <c r="D768" s="9">
        <f>SK[[#This Row],[KALİTE]]</f>
        <v>0</v>
      </c>
      <c r="E768" s="11">
        <f>SK[[#This Row],[FİRE]]</f>
        <v>0</v>
      </c>
      <c r="F768" s="11">
        <f>SK[[#This Row],[EŞİT FİRE]]</f>
        <v>0</v>
      </c>
      <c r="G768" s="9">
        <f>IF(MOD(SK[[#This Row],[GEREKLİ ADET]],2)=0,SK[[#This Row],[GEREKLİ ADET]],0)</f>
        <v>0</v>
      </c>
      <c r="H768" s="9">
        <f>SK[[#This Row],[SONDAN KALAN FİRE]]</f>
        <v>0</v>
      </c>
    </row>
    <row r="769" spans="1:8" x14ac:dyDescent="0.3">
      <c r="A769" s="12">
        <f>SK[[#This Row],[TARİH]]</f>
        <v>0</v>
      </c>
      <c r="B769" s="9">
        <f>SK[[#This Row],[TÜR]]</f>
        <v>0</v>
      </c>
      <c r="C769" s="9">
        <f>SK[[#This Row],[MALZEME ]]</f>
        <v>0</v>
      </c>
      <c r="D769" s="9">
        <f>SK[[#This Row],[KALİTE]]</f>
        <v>0</v>
      </c>
      <c r="E769" s="11">
        <f>SK[[#This Row],[FİRE]]</f>
        <v>0</v>
      </c>
      <c r="F769" s="11">
        <f>SK[[#This Row],[EŞİT FİRE]]</f>
        <v>0</v>
      </c>
      <c r="G769" s="9">
        <f>IF(MOD(SK[[#This Row],[GEREKLİ ADET]],2)=0,SK[[#This Row],[GEREKLİ ADET]],0)</f>
        <v>0</v>
      </c>
      <c r="H769" s="9">
        <f>SK[[#This Row],[SONDAN KALAN FİRE]]</f>
        <v>0</v>
      </c>
    </row>
    <row r="770" spans="1:8" x14ac:dyDescent="0.3">
      <c r="A770" s="12">
        <f>SK[[#This Row],[TARİH]]</f>
        <v>0</v>
      </c>
      <c r="B770" s="9">
        <f>SK[[#This Row],[TÜR]]</f>
        <v>0</v>
      </c>
      <c r="C770" s="9">
        <f>SK[[#This Row],[MALZEME ]]</f>
        <v>0</v>
      </c>
      <c r="D770" s="9">
        <f>SK[[#This Row],[KALİTE]]</f>
        <v>0</v>
      </c>
      <c r="E770" s="11">
        <f>SK[[#This Row],[FİRE]]</f>
        <v>0</v>
      </c>
      <c r="F770" s="11">
        <f>SK[[#This Row],[EŞİT FİRE]]</f>
        <v>0</v>
      </c>
      <c r="G770" s="9">
        <f>IF(MOD(SK[[#This Row],[GEREKLİ ADET]],2)=0,SK[[#This Row],[GEREKLİ ADET]],0)</f>
        <v>0</v>
      </c>
      <c r="H770" s="9">
        <f>SK[[#This Row],[SONDAN KALAN FİRE]]</f>
        <v>0</v>
      </c>
    </row>
    <row r="771" spans="1:8" x14ac:dyDescent="0.3">
      <c r="A771" s="12">
        <f>SK[[#This Row],[TARİH]]</f>
        <v>0</v>
      </c>
      <c r="B771" s="9">
        <f>SK[[#This Row],[TÜR]]</f>
        <v>0</v>
      </c>
      <c r="C771" s="9">
        <f>SK[[#This Row],[MALZEME ]]</f>
        <v>0</v>
      </c>
      <c r="D771" s="9">
        <f>SK[[#This Row],[KALİTE]]</f>
        <v>0</v>
      </c>
      <c r="E771" s="11">
        <f>SK[[#This Row],[FİRE]]</f>
        <v>0</v>
      </c>
      <c r="F771" s="11">
        <f>SK[[#This Row],[EŞİT FİRE]]</f>
        <v>0</v>
      </c>
      <c r="G771" s="9">
        <f>IF(MOD(SK[[#This Row],[GEREKLİ ADET]],2)=0,SK[[#This Row],[GEREKLİ ADET]],0)</f>
        <v>0</v>
      </c>
      <c r="H771" s="9">
        <f>SK[[#This Row],[SONDAN KALAN FİRE]]</f>
        <v>0</v>
      </c>
    </row>
    <row r="772" spans="1:8" x14ac:dyDescent="0.3">
      <c r="A772" s="12">
        <f>SK[[#This Row],[TARİH]]</f>
        <v>0</v>
      </c>
      <c r="B772" s="9">
        <f>SK[[#This Row],[TÜR]]</f>
        <v>0</v>
      </c>
      <c r="C772" s="9">
        <f>SK[[#This Row],[MALZEME ]]</f>
        <v>0</v>
      </c>
      <c r="D772" s="9">
        <f>SK[[#This Row],[KALİTE]]</f>
        <v>0</v>
      </c>
      <c r="E772" s="11">
        <f>SK[[#This Row],[FİRE]]</f>
        <v>0</v>
      </c>
      <c r="F772" s="11">
        <f>SK[[#This Row],[EŞİT FİRE]]</f>
        <v>0</v>
      </c>
      <c r="G772" s="9">
        <f>IF(MOD(SK[[#This Row],[GEREKLİ ADET]],2)=0,SK[[#This Row],[GEREKLİ ADET]],0)</f>
        <v>0</v>
      </c>
      <c r="H772" s="9">
        <f>SK[[#This Row],[SONDAN KALAN FİRE]]</f>
        <v>0</v>
      </c>
    </row>
    <row r="773" spans="1:8" x14ac:dyDescent="0.3">
      <c r="A773" s="12">
        <f>SK[[#This Row],[TARİH]]</f>
        <v>0</v>
      </c>
      <c r="B773" s="9">
        <f>SK[[#This Row],[TÜR]]</f>
        <v>0</v>
      </c>
      <c r="C773" s="9">
        <f>SK[[#This Row],[MALZEME ]]</f>
        <v>0</v>
      </c>
      <c r="D773" s="9">
        <f>SK[[#This Row],[KALİTE]]</f>
        <v>0</v>
      </c>
      <c r="E773" s="11">
        <f>SK[[#This Row],[FİRE]]</f>
        <v>0</v>
      </c>
      <c r="F773" s="11">
        <f>SK[[#This Row],[EŞİT FİRE]]</f>
        <v>0</v>
      </c>
      <c r="G773" s="9">
        <f>IF(MOD(SK[[#This Row],[GEREKLİ ADET]],2)=0,SK[[#This Row],[GEREKLİ ADET]],0)</f>
        <v>0</v>
      </c>
      <c r="H773" s="9">
        <f>SK[[#This Row],[SONDAN KALAN FİRE]]</f>
        <v>0</v>
      </c>
    </row>
    <row r="774" spans="1:8" x14ac:dyDescent="0.3">
      <c r="A774" s="12">
        <f>SK[[#This Row],[TARİH]]</f>
        <v>0</v>
      </c>
      <c r="B774" s="9">
        <f>SK[[#This Row],[TÜR]]</f>
        <v>0</v>
      </c>
      <c r="C774" s="9">
        <f>SK[[#This Row],[MALZEME ]]</f>
        <v>0</v>
      </c>
      <c r="D774" s="9">
        <f>SK[[#This Row],[KALİTE]]</f>
        <v>0</v>
      </c>
      <c r="E774" s="11">
        <f>SK[[#This Row],[FİRE]]</f>
        <v>0</v>
      </c>
      <c r="F774" s="11">
        <f>SK[[#This Row],[EŞİT FİRE]]</f>
        <v>0</v>
      </c>
      <c r="G774" s="9">
        <f>IF(MOD(SK[[#This Row],[GEREKLİ ADET]],2)=0,SK[[#This Row],[GEREKLİ ADET]],0)</f>
        <v>0</v>
      </c>
      <c r="H774" s="9">
        <f>SK[[#This Row],[SONDAN KALAN FİRE]]</f>
        <v>0</v>
      </c>
    </row>
    <row r="775" spans="1:8" x14ac:dyDescent="0.3">
      <c r="A775" s="12">
        <f>SK[[#This Row],[TARİH]]</f>
        <v>0</v>
      </c>
      <c r="B775" s="9">
        <f>SK[[#This Row],[TÜR]]</f>
        <v>0</v>
      </c>
      <c r="C775" s="9">
        <f>SK[[#This Row],[MALZEME ]]</f>
        <v>0</v>
      </c>
      <c r="D775" s="9">
        <f>SK[[#This Row],[KALİTE]]</f>
        <v>0</v>
      </c>
      <c r="E775" s="11">
        <f>SK[[#This Row],[FİRE]]</f>
        <v>0</v>
      </c>
      <c r="F775" s="11">
        <f>SK[[#This Row],[EŞİT FİRE]]</f>
        <v>0</v>
      </c>
      <c r="G775" s="9">
        <f>IF(MOD(SK[[#This Row],[GEREKLİ ADET]],2)=0,SK[[#This Row],[GEREKLİ ADET]],0)</f>
        <v>0</v>
      </c>
      <c r="H775" s="9">
        <f>SK[[#This Row],[SONDAN KALAN FİRE]]</f>
        <v>0</v>
      </c>
    </row>
    <row r="776" spans="1:8" x14ac:dyDescent="0.3">
      <c r="A776" s="12">
        <f>SK[[#This Row],[TARİH]]</f>
        <v>0</v>
      </c>
      <c r="B776" s="9">
        <f>SK[[#This Row],[TÜR]]</f>
        <v>0</v>
      </c>
      <c r="C776" s="9">
        <f>SK[[#This Row],[MALZEME ]]</f>
        <v>0</v>
      </c>
      <c r="D776" s="9">
        <f>SK[[#This Row],[KALİTE]]</f>
        <v>0</v>
      </c>
      <c r="E776" s="11">
        <f>SK[[#This Row],[FİRE]]</f>
        <v>0</v>
      </c>
      <c r="F776" s="11">
        <f>SK[[#This Row],[EŞİT FİRE]]</f>
        <v>0</v>
      </c>
      <c r="G776" s="9">
        <f>IF(MOD(SK[[#This Row],[GEREKLİ ADET]],2)=0,SK[[#This Row],[GEREKLİ ADET]],0)</f>
        <v>0</v>
      </c>
      <c r="H776" s="9">
        <f>SK[[#This Row],[SONDAN KALAN FİRE]]</f>
        <v>0</v>
      </c>
    </row>
    <row r="777" spans="1:8" x14ac:dyDescent="0.3">
      <c r="A777" s="12">
        <f>SK[[#This Row],[TARİH]]</f>
        <v>0</v>
      </c>
      <c r="B777" s="9">
        <f>SK[[#This Row],[TÜR]]</f>
        <v>0</v>
      </c>
      <c r="C777" s="9">
        <f>SK[[#This Row],[MALZEME ]]</f>
        <v>0</v>
      </c>
      <c r="D777" s="9">
        <f>SK[[#This Row],[KALİTE]]</f>
        <v>0</v>
      </c>
      <c r="E777" s="11">
        <f>SK[[#This Row],[FİRE]]</f>
        <v>0</v>
      </c>
      <c r="F777" s="11">
        <f>SK[[#This Row],[EŞİT FİRE]]</f>
        <v>0</v>
      </c>
      <c r="G777" s="9">
        <f>IF(MOD(SK[[#This Row],[GEREKLİ ADET]],2)=0,SK[[#This Row],[GEREKLİ ADET]],0)</f>
        <v>0</v>
      </c>
      <c r="H777" s="9">
        <f>SK[[#This Row],[SONDAN KALAN FİRE]]</f>
        <v>0</v>
      </c>
    </row>
    <row r="778" spans="1:8" x14ac:dyDescent="0.3">
      <c r="A778" s="12">
        <f>SK[[#This Row],[TARİH]]</f>
        <v>0</v>
      </c>
      <c r="B778" s="9">
        <f>SK[[#This Row],[TÜR]]</f>
        <v>0</v>
      </c>
      <c r="C778" s="9">
        <f>SK[[#This Row],[MALZEME ]]</f>
        <v>0</v>
      </c>
      <c r="D778" s="9">
        <f>SK[[#This Row],[KALİTE]]</f>
        <v>0</v>
      </c>
      <c r="E778" s="11">
        <f>SK[[#This Row],[FİRE]]</f>
        <v>0</v>
      </c>
      <c r="F778" s="11">
        <f>SK[[#This Row],[EŞİT FİRE]]</f>
        <v>0</v>
      </c>
      <c r="G778" s="9">
        <f>IF(MOD(SK[[#This Row],[GEREKLİ ADET]],2)=0,SK[[#This Row],[GEREKLİ ADET]],0)</f>
        <v>0</v>
      </c>
      <c r="H778" s="9">
        <f>SK[[#This Row],[SONDAN KALAN FİRE]]</f>
        <v>0</v>
      </c>
    </row>
    <row r="779" spans="1:8" x14ac:dyDescent="0.3">
      <c r="A779" s="12">
        <f>SK[[#This Row],[TARİH]]</f>
        <v>0</v>
      </c>
      <c r="B779" s="9">
        <f>SK[[#This Row],[TÜR]]</f>
        <v>0</v>
      </c>
      <c r="C779" s="9">
        <f>SK[[#This Row],[MALZEME ]]</f>
        <v>0</v>
      </c>
      <c r="D779" s="9">
        <f>SK[[#This Row],[KALİTE]]</f>
        <v>0</v>
      </c>
      <c r="E779" s="11">
        <f>SK[[#This Row],[FİRE]]</f>
        <v>0</v>
      </c>
      <c r="F779" s="11">
        <f>SK[[#This Row],[EŞİT FİRE]]</f>
        <v>0</v>
      </c>
      <c r="G779" s="9">
        <f>IF(MOD(SK[[#This Row],[GEREKLİ ADET]],2)=0,SK[[#This Row],[GEREKLİ ADET]],0)</f>
        <v>0</v>
      </c>
      <c r="H779" s="9">
        <f>SK[[#This Row],[SONDAN KALAN FİRE]]</f>
        <v>0</v>
      </c>
    </row>
    <row r="780" spans="1:8" x14ac:dyDescent="0.3">
      <c r="A780" s="12">
        <f>SK[[#This Row],[TARİH]]</f>
        <v>0</v>
      </c>
      <c r="B780" s="9">
        <f>SK[[#This Row],[TÜR]]</f>
        <v>0</v>
      </c>
      <c r="C780" s="9">
        <f>SK[[#This Row],[MALZEME ]]</f>
        <v>0</v>
      </c>
      <c r="D780" s="9">
        <f>SK[[#This Row],[KALİTE]]</f>
        <v>0</v>
      </c>
      <c r="E780" s="11">
        <f>SK[[#This Row],[FİRE]]</f>
        <v>0</v>
      </c>
      <c r="F780" s="11">
        <f>SK[[#This Row],[EŞİT FİRE]]</f>
        <v>0</v>
      </c>
      <c r="G780" s="9">
        <f>IF(MOD(SK[[#This Row],[GEREKLİ ADET]],2)=0,SK[[#This Row],[GEREKLİ ADET]],0)</f>
        <v>0</v>
      </c>
      <c r="H780" s="9">
        <f>SK[[#This Row],[SONDAN KALAN FİRE]]</f>
        <v>0</v>
      </c>
    </row>
    <row r="781" spans="1:8" x14ac:dyDescent="0.3">
      <c r="A781" s="12">
        <f>SK[[#This Row],[TARİH]]</f>
        <v>0</v>
      </c>
      <c r="B781" s="9">
        <f>SK[[#This Row],[TÜR]]</f>
        <v>0</v>
      </c>
      <c r="C781" s="9">
        <f>SK[[#This Row],[MALZEME ]]</f>
        <v>0</v>
      </c>
      <c r="D781" s="9">
        <f>SK[[#This Row],[KALİTE]]</f>
        <v>0</v>
      </c>
      <c r="E781" s="11">
        <f>SK[[#This Row],[FİRE]]</f>
        <v>0</v>
      </c>
      <c r="F781" s="11">
        <f>SK[[#This Row],[EŞİT FİRE]]</f>
        <v>0</v>
      </c>
      <c r="G781" s="9">
        <f>IF(MOD(SK[[#This Row],[GEREKLİ ADET]],2)=0,SK[[#This Row],[GEREKLİ ADET]],0)</f>
        <v>0</v>
      </c>
      <c r="H781" s="9">
        <f>SK[[#This Row],[SONDAN KALAN FİRE]]</f>
        <v>0</v>
      </c>
    </row>
    <row r="782" spans="1:8" x14ac:dyDescent="0.3">
      <c r="A782" s="12">
        <f>SK[[#This Row],[TARİH]]</f>
        <v>0</v>
      </c>
      <c r="B782" s="9">
        <f>SK[[#This Row],[TÜR]]</f>
        <v>0</v>
      </c>
      <c r="C782" s="9">
        <f>SK[[#This Row],[MALZEME ]]</f>
        <v>0</v>
      </c>
      <c r="D782" s="9">
        <f>SK[[#This Row],[KALİTE]]</f>
        <v>0</v>
      </c>
      <c r="E782" s="11">
        <f>SK[[#This Row],[FİRE]]</f>
        <v>0</v>
      </c>
      <c r="F782" s="11">
        <f>SK[[#This Row],[EŞİT FİRE]]</f>
        <v>0</v>
      </c>
      <c r="G782" s="9">
        <f>IF(MOD(SK[[#This Row],[GEREKLİ ADET]],2)=0,SK[[#This Row],[GEREKLİ ADET]],0)</f>
        <v>0</v>
      </c>
      <c r="H782" s="9">
        <f>SK[[#This Row],[SONDAN KALAN FİRE]]</f>
        <v>0</v>
      </c>
    </row>
    <row r="783" spans="1:8" x14ac:dyDescent="0.3">
      <c r="A783" s="12">
        <f>SK[[#This Row],[TARİH]]</f>
        <v>0</v>
      </c>
      <c r="B783" s="9">
        <f>SK[[#This Row],[TÜR]]</f>
        <v>0</v>
      </c>
      <c r="C783" s="9">
        <f>SK[[#This Row],[MALZEME ]]</f>
        <v>0</v>
      </c>
      <c r="D783" s="9">
        <f>SK[[#This Row],[KALİTE]]</f>
        <v>0</v>
      </c>
      <c r="E783" s="11">
        <f>SK[[#This Row],[FİRE]]</f>
        <v>0</v>
      </c>
      <c r="F783" s="11">
        <f>SK[[#This Row],[EŞİT FİRE]]</f>
        <v>0</v>
      </c>
      <c r="G783" s="9">
        <f>IF(MOD(SK[[#This Row],[GEREKLİ ADET]],2)=0,SK[[#This Row],[GEREKLİ ADET]],0)</f>
        <v>0</v>
      </c>
      <c r="H783" s="9">
        <f>SK[[#This Row],[SONDAN KALAN FİRE]]</f>
        <v>0</v>
      </c>
    </row>
    <row r="784" spans="1:8" x14ac:dyDescent="0.3">
      <c r="A784" s="12">
        <f>SK[[#This Row],[TARİH]]</f>
        <v>0</v>
      </c>
      <c r="B784" s="9">
        <f>SK[[#This Row],[TÜR]]</f>
        <v>0</v>
      </c>
      <c r="C784" s="9">
        <f>SK[[#This Row],[MALZEME ]]</f>
        <v>0</v>
      </c>
      <c r="D784" s="9">
        <f>SK[[#This Row],[KALİTE]]</f>
        <v>0</v>
      </c>
      <c r="E784" s="11">
        <f>SK[[#This Row],[FİRE]]</f>
        <v>0</v>
      </c>
      <c r="F784" s="11">
        <f>SK[[#This Row],[EŞİT FİRE]]</f>
        <v>0</v>
      </c>
      <c r="G784" s="9">
        <f>IF(MOD(SK[[#This Row],[GEREKLİ ADET]],2)=0,SK[[#This Row],[GEREKLİ ADET]],0)</f>
        <v>0</v>
      </c>
      <c r="H784" s="9">
        <f>SK[[#This Row],[SONDAN KALAN FİRE]]</f>
        <v>0</v>
      </c>
    </row>
    <row r="785" spans="1:8" x14ac:dyDescent="0.3">
      <c r="A785" s="12">
        <f>SK[[#This Row],[TARİH]]</f>
        <v>0</v>
      </c>
      <c r="B785" s="9">
        <f>SK[[#This Row],[TÜR]]</f>
        <v>0</v>
      </c>
      <c r="C785" s="9">
        <f>SK[[#This Row],[MALZEME ]]</f>
        <v>0</v>
      </c>
      <c r="D785" s="9">
        <f>SK[[#This Row],[KALİTE]]</f>
        <v>0</v>
      </c>
      <c r="E785" s="11">
        <f>SK[[#This Row],[FİRE]]</f>
        <v>0</v>
      </c>
      <c r="F785" s="11">
        <f>SK[[#This Row],[EŞİT FİRE]]</f>
        <v>0</v>
      </c>
      <c r="G785" s="9">
        <f>IF(MOD(SK[[#This Row],[GEREKLİ ADET]],2)=0,SK[[#This Row],[GEREKLİ ADET]],0)</f>
        <v>0</v>
      </c>
      <c r="H785" s="9">
        <f>SK[[#This Row],[SONDAN KALAN FİRE]]</f>
        <v>0</v>
      </c>
    </row>
    <row r="786" spans="1:8" x14ac:dyDescent="0.3">
      <c r="A786" s="12">
        <f>SK[[#This Row],[TARİH]]</f>
        <v>0</v>
      </c>
      <c r="B786" s="9">
        <f>SK[[#This Row],[TÜR]]</f>
        <v>0</v>
      </c>
      <c r="C786" s="9">
        <f>SK[[#This Row],[MALZEME ]]</f>
        <v>0</v>
      </c>
      <c r="D786" s="9">
        <f>SK[[#This Row],[KALİTE]]</f>
        <v>0</v>
      </c>
      <c r="E786" s="11">
        <f>SK[[#This Row],[FİRE]]</f>
        <v>0</v>
      </c>
      <c r="F786" s="11">
        <f>SK[[#This Row],[EŞİT FİRE]]</f>
        <v>0</v>
      </c>
      <c r="G786" s="9">
        <f>IF(MOD(SK[[#This Row],[GEREKLİ ADET]],2)=0,SK[[#This Row],[GEREKLİ ADET]],0)</f>
        <v>0</v>
      </c>
      <c r="H786" s="9">
        <f>SK[[#This Row],[SONDAN KALAN FİRE]]</f>
        <v>0</v>
      </c>
    </row>
    <row r="787" spans="1:8" x14ac:dyDescent="0.3">
      <c r="A787" s="12">
        <f>SK[[#This Row],[TARİH]]</f>
        <v>0</v>
      </c>
      <c r="B787" s="9">
        <f>SK[[#This Row],[TÜR]]</f>
        <v>0</v>
      </c>
      <c r="C787" s="9">
        <f>SK[[#This Row],[MALZEME ]]</f>
        <v>0</v>
      </c>
      <c r="D787" s="9">
        <f>SK[[#This Row],[KALİTE]]</f>
        <v>0</v>
      </c>
      <c r="E787" s="11">
        <f>SK[[#This Row],[FİRE]]</f>
        <v>0</v>
      </c>
      <c r="F787" s="11">
        <f>SK[[#This Row],[EŞİT FİRE]]</f>
        <v>0</v>
      </c>
      <c r="G787" s="9">
        <f>IF(MOD(SK[[#This Row],[GEREKLİ ADET]],2)=0,SK[[#This Row],[GEREKLİ ADET]],0)</f>
        <v>0</v>
      </c>
      <c r="H787" s="9">
        <f>SK[[#This Row],[SONDAN KALAN FİRE]]</f>
        <v>0</v>
      </c>
    </row>
    <row r="788" spans="1:8" x14ac:dyDescent="0.3">
      <c r="A788" s="12">
        <f>SK[[#This Row],[TARİH]]</f>
        <v>0</v>
      </c>
      <c r="B788" s="9">
        <f>SK[[#This Row],[TÜR]]</f>
        <v>0</v>
      </c>
      <c r="C788" s="9">
        <f>SK[[#This Row],[MALZEME ]]</f>
        <v>0</v>
      </c>
      <c r="D788" s="9">
        <f>SK[[#This Row],[KALİTE]]</f>
        <v>0</v>
      </c>
      <c r="E788" s="11">
        <f>SK[[#This Row],[FİRE]]</f>
        <v>0</v>
      </c>
      <c r="F788" s="11">
        <f>SK[[#This Row],[EŞİT FİRE]]</f>
        <v>0</v>
      </c>
      <c r="G788" s="9">
        <f>IF(MOD(SK[[#This Row],[GEREKLİ ADET]],2)=0,SK[[#This Row],[GEREKLİ ADET]],0)</f>
        <v>0</v>
      </c>
      <c r="H788" s="9">
        <f>SK[[#This Row],[SONDAN KALAN FİRE]]</f>
        <v>0</v>
      </c>
    </row>
    <row r="789" spans="1:8" x14ac:dyDescent="0.3">
      <c r="A789" s="12">
        <f>SK[[#This Row],[TARİH]]</f>
        <v>0</v>
      </c>
      <c r="B789" s="9">
        <f>SK[[#This Row],[TÜR]]</f>
        <v>0</v>
      </c>
      <c r="C789" s="9">
        <f>SK[[#This Row],[MALZEME ]]</f>
        <v>0</v>
      </c>
      <c r="D789" s="9">
        <f>SK[[#This Row],[KALİTE]]</f>
        <v>0</v>
      </c>
      <c r="E789" s="11">
        <f>SK[[#This Row],[FİRE]]</f>
        <v>0</v>
      </c>
      <c r="F789" s="11">
        <f>SK[[#This Row],[EŞİT FİRE]]</f>
        <v>0</v>
      </c>
      <c r="G789" s="9">
        <f>IF(MOD(SK[[#This Row],[GEREKLİ ADET]],2)=0,SK[[#This Row],[GEREKLİ ADET]],0)</f>
        <v>0</v>
      </c>
      <c r="H789" s="9">
        <f>SK[[#This Row],[SONDAN KALAN FİRE]]</f>
        <v>0</v>
      </c>
    </row>
    <row r="790" spans="1:8" x14ac:dyDescent="0.3">
      <c r="A790" s="12">
        <f>SK[[#This Row],[TARİH]]</f>
        <v>0</v>
      </c>
      <c r="B790" s="9">
        <f>SK[[#This Row],[TÜR]]</f>
        <v>0</v>
      </c>
      <c r="C790" s="9">
        <f>SK[[#This Row],[MALZEME ]]</f>
        <v>0</v>
      </c>
      <c r="D790" s="9">
        <f>SK[[#This Row],[KALİTE]]</f>
        <v>0</v>
      </c>
      <c r="E790" s="11">
        <f>SK[[#This Row],[FİRE]]</f>
        <v>0</v>
      </c>
      <c r="F790" s="11">
        <f>SK[[#This Row],[EŞİT FİRE]]</f>
        <v>0</v>
      </c>
      <c r="G790" s="9">
        <f>IF(MOD(SK[[#This Row],[GEREKLİ ADET]],2)=0,SK[[#This Row],[GEREKLİ ADET]],0)</f>
        <v>0</v>
      </c>
      <c r="H790" s="9">
        <f>SK[[#This Row],[SONDAN KALAN FİRE]]</f>
        <v>0</v>
      </c>
    </row>
    <row r="791" spans="1:8" x14ac:dyDescent="0.3">
      <c r="A791" s="12">
        <f>SK[[#This Row],[TARİH]]</f>
        <v>0</v>
      </c>
      <c r="B791" s="9">
        <f>SK[[#This Row],[TÜR]]</f>
        <v>0</v>
      </c>
      <c r="C791" s="9">
        <f>SK[[#This Row],[MALZEME ]]</f>
        <v>0</v>
      </c>
      <c r="D791" s="9">
        <f>SK[[#This Row],[KALİTE]]</f>
        <v>0</v>
      </c>
      <c r="E791" s="11">
        <f>SK[[#This Row],[FİRE]]</f>
        <v>0</v>
      </c>
      <c r="F791" s="11">
        <f>SK[[#This Row],[EŞİT FİRE]]</f>
        <v>0</v>
      </c>
      <c r="G791" s="9">
        <f>IF(MOD(SK[[#This Row],[GEREKLİ ADET]],2)=0,SK[[#This Row],[GEREKLİ ADET]],0)</f>
        <v>0</v>
      </c>
      <c r="H791" s="9">
        <f>SK[[#This Row],[SONDAN KALAN FİRE]]</f>
        <v>0</v>
      </c>
    </row>
    <row r="792" spans="1:8" x14ac:dyDescent="0.3">
      <c r="A792" s="12">
        <f>SK[[#This Row],[TARİH]]</f>
        <v>0</v>
      </c>
      <c r="B792" s="9">
        <f>SK[[#This Row],[TÜR]]</f>
        <v>0</v>
      </c>
      <c r="C792" s="9">
        <f>SK[[#This Row],[MALZEME ]]</f>
        <v>0</v>
      </c>
      <c r="D792" s="9">
        <f>SK[[#This Row],[KALİTE]]</f>
        <v>0</v>
      </c>
      <c r="E792" s="11">
        <f>SK[[#This Row],[FİRE]]</f>
        <v>0</v>
      </c>
      <c r="F792" s="11">
        <f>SK[[#This Row],[EŞİT FİRE]]</f>
        <v>0</v>
      </c>
      <c r="G792" s="9">
        <f>IF(MOD(SK[[#This Row],[GEREKLİ ADET]],2)=0,SK[[#This Row],[GEREKLİ ADET]],0)</f>
        <v>0</v>
      </c>
      <c r="H792" s="9">
        <f>SK[[#This Row],[SONDAN KALAN FİRE]]</f>
        <v>0</v>
      </c>
    </row>
    <row r="793" spans="1:8" x14ac:dyDescent="0.3">
      <c r="A793" s="12">
        <f>SK[[#This Row],[TARİH]]</f>
        <v>0</v>
      </c>
      <c r="B793" s="9">
        <f>SK[[#This Row],[TÜR]]</f>
        <v>0</v>
      </c>
      <c r="C793" s="9">
        <f>SK[[#This Row],[MALZEME ]]</f>
        <v>0</v>
      </c>
      <c r="D793" s="9">
        <f>SK[[#This Row],[KALİTE]]</f>
        <v>0</v>
      </c>
      <c r="E793" s="11">
        <f>SK[[#This Row],[FİRE]]</f>
        <v>0</v>
      </c>
      <c r="F793" s="11">
        <f>SK[[#This Row],[EŞİT FİRE]]</f>
        <v>0</v>
      </c>
      <c r="G793" s="9">
        <f>IF(MOD(SK[[#This Row],[GEREKLİ ADET]],2)=0,SK[[#This Row],[GEREKLİ ADET]],0)</f>
        <v>0</v>
      </c>
      <c r="H793" s="9">
        <f>SK[[#This Row],[SONDAN KALAN FİRE]]</f>
        <v>0</v>
      </c>
    </row>
    <row r="794" spans="1:8" x14ac:dyDescent="0.3">
      <c r="A794" s="12">
        <f>SK[[#This Row],[TARİH]]</f>
        <v>0</v>
      </c>
      <c r="B794" s="9">
        <f>SK[[#This Row],[TÜR]]</f>
        <v>0</v>
      </c>
      <c r="C794" s="9">
        <f>SK[[#This Row],[MALZEME ]]</f>
        <v>0</v>
      </c>
      <c r="D794" s="9">
        <f>SK[[#This Row],[KALİTE]]</f>
        <v>0</v>
      </c>
      <c r="E794" s="11">
        <f>SK[[#This Row],[FİRE]]</f>
        <v>0</v>
      </c>
      <c r="F794" s="11">
        <f>SK[[#This Row],[EŞİT FİRE]]</f>
        <v>0</v>
      </c>
      <c r="G794" s="9">
        <f>IF(MOD(SK[[#This Row],[GEREKLİ ADET]],2)=0,SK[[#This Row],[GEREKLİ ADET]],0)</f>
        <v>0</v>
      </c>
      <c r="H794" s="9">
        <f>SK[[#This Row],[SONDAN KALAN FİRE]]</f>
        <v>0</v>
      </c>
    </row>
    <row r="795" spans="1:8" x14ac:dyDescent="0.3">
      <c r="A795" s="12">
        <f>SK[[#This Row],[TARİH]]</f>
        <v>0</v>
      </c>
      <c r="B795" s="9">
        <f>SK[[#This Row],[TÜR]]</f>
        <v>0</v>
      </c>
      <c r="C795" s="9">
        <f>SK[[#This Row],[MALZEME ]]</f>
        <v>0</v>
      </c>
      <c r="D795" s="9">
        <f>SK[[#This Row],[KALİTE]]</f>
        <v>0</v>
      </c>
      <c r="E795" s="11">
        <f>SK[[#This Row],[FİRE]]</f>
        <v>0</v>
      </c>
      <c r="F795" s="11">
        <f>SK[[#This Row],[EŞİT FİRE]]</f>
        <v>0</v>
      </c>
      <c r="G795" s="9">
        <f>IF(MOD(SK[[#This Row],[GEREKLİ ADET]],2)=0,SK[[#This Row],[GEREKLİ ADET]],0)</f>
        <v>0</v>
      </c>
      <c r="H795" s="9">
        <f>SK[[#This Row],[SONDAN KALAN FİRE]]</f>
        <v>0</v>
      </c>
    </row>
    <row r="796" spans="1:8" x14ac:dyDescent="0.3">
      <c r="A796" s="12">
        <f>SK[[#This Row],[TARİH]]</f>
        <v>0</v>
      </c>
      <c r="B796" s="9">
        <f>SK[[#This Row],[TÜR]]</f>
        <v>0</v>
      </c>
      <c r="C796" s="9">
        <f>SK[[#This Row],[MALZEME ]]</f>
        <v>0</v>
      </c>
      <c r="D796" s="9">
        <f>SK[[#This Row],[KALİTE]]</f>
        <v>0</v>
      </c>
      <c r="E796" s="11">
        <f>SK[[#This Row],[FİRE]]</f>
        <v>0</v>
      </c>
      <c r="F796" s="11">
        <f>SK[[#This Row],[EŞİT FİRE]]</f>
        <v>0</v>
      </c>
      <c r="G796" s="9">
        <f>IF(MOD(SK[[#This Row],[GEREKLİ ADET]],2)=0,SK[[#This Row],[GEREKLİ ADET]],0)</f>
        <v>0</v>
      </c>
      <c r="H796" s="9">
        <f>SK[[#This Row],[SONDAN KALAN FİRE]]</f>
        <v>0</v>
      </c>
    </row>
    <row r="797" spans="1:8" x14ac:dyDescent="0.3">
      <c r="A797" s="12">
        <f>SK[[#This Row],[TARİH]]</f>
        <v>0</v>
      </c>
      <c r="B797" s="9">
        <f>SK[[#This Row],[TÜR]]</f>
        <v>0</v>
      </c>
      <c r="C797" s="9">
        <f>SK[[#This Row],[MALZEME ]]</f>
        <v>0</v>
      </c>
      <c r="D797" s="9">
        <f>SK[[#This Row],[KALİTE]]</f>
        <v>0</v>
      </c>
      <c r="E797" s="11">
        <f>SK[[#This Row],[FİRE]]</f>
        <v>0</v>
      </c>
      <c r="F797" s="11">
        <f>SK[[#This Row],[EŞİT FİRE]]</f>
        <v>0</v>
      </c>
      <c r="G797" s="9">
        <f>IF(MOD(SK[[#This Row],[GEREKLİ ADET]],2)=0,SK[[#This Row],[GEREKLİ ADET]],0)</f>
        <v>0</v>
      </c>
      <c r="H797" s="9">
        <f>SK[[#This Row],[SONDAN KALAN FİRE]]</f>
        <v>0</v>
      </c>
    </row>
    <row r="798" spans="1:8" x14ac:dyDescent="0.3">
      <c r="A798" s="12">
        <f>SK[[#This Row],[TARİH]]</f>
        <v>0</v>
      </c>
      <c r="B798" s="9">
        <f>SK[[#This Row],[TÜR]]</f>
        <v>0</v>
      </c>
      <c r="C798" s="9">
        <f>SK[[#This Row],[MALZEME ]]</f>
        <v>0</v>
      </c>
      <c r="D798" s="9">
        <f>SK[[#This Row],[KALİTE]]</f>
        <v>0</v>
      </c>
      <c r="E798" s="11">
        <f>SK[[#This Row],[FİRE]]</f>
        <v>0</v>
      </c>
      <c r="F798" s="11">
        <f>SK[[#This Row],[EŞİT FİRE]]</f>
        <v>0</v>
      </c>
      <c r="G798" s="9">
        <f>IF(MOD(SK[[#This Row],[GEREKLİ ADET]],2)=0,SK[[#This Row],[GEREKLİ ADET]],0)</f>
        <v>0</v>
      </c>
      <c r="H798" s="9">
        <f>SK[[#This Row],[SONDAN KALAN FİRE]]</f>
        <v>0</v>
      </c>
    </row>
    <row r="799" spans="1:8" x14ac:dyDescent="0.3">
      <c r="A799" s="12">
        <f>SK[[#This Row],[TARİH]]</f>
        <v>0</v>
      </c>
      <c r="B799" s="9">
        <f>SK[[#This Row],[TÜR]]</f>
        <v>0</v>
      </c>
      <c r="C799" s="9">
        <f>SK[[#This Row],[MALZEME ]]</f>
        <v>0</v>
      </c>
      <c r="D799" s="9">
        <f>SK[[#This Row],[KALİTE]]</f>
        <v>0</v>
      </c>
      <c r="E799" s="11">
        <f>SK[[#This Row],[FİRE]]</f>
        <v>0</v>
      </c>
      <c r="F799" s="11">
        <f>SK[[#This Row],[EŞİT FİRE]]</f>
        <v>0</v>
      </c>
      <c r="G799" s="9">
        <f>IF(MOD(SK[[#This Row],[GEREKLİ ADET]],2)=0,SK[[#This Row],[GEREKLİ ADET]],0)</f>
        <v>0</v>
      </c>
      <c r="H799" s="9">
        <f>SK[[#This Row],[SONDAN KALAN FİRE]]</f>
        <v>0</v>
      </c>
    </row>
    <row r="800" spans="1:8" x14ac:dyDescent="0.3">
      <c r="A800" s="12">
        <f>SK[[#This Row],[TARİH]]</f>
        <v>0</v>
      </c>
      <c r="B800" s="9">
        <f>SK[[#This Row],[TÜR]]</f>
        <v>0</v>
      </c>
      <c r="C800" s="9">
        <f>SK[[#This Row],[MALZEME ]]</f>
        <v>0</v>
      </c>
      <c r="D800" s="9">
        <f>SK[[#This Row],[KALİTE]]</f>
        <v>0</v>
      </c>
      <c r="E800" s="11">
        <f>SK[[#This Row],[FİRE]]</f>
        <v>0</v>
      </c>
      <c r="F800" s="11">
        <f>SK[[#This Row],[EŞİT FİRE]]</f>
        <v>0</v>
      </c>
      <c r="G800" s="9">
        <f>IF(MOD(SK[[#This Row],[GEREKLİ ADET]],2)=0,SK[[#This Row],[GEREKLİ ADET]],0)</f>
        <v>0</v>
      </c>
      <c r="H800" s="9">
        <f>SK[[#This Row],[SONDAN KALAN FİRE]]</f>
        <v>0</v>
      </c>
    </row>
    <row r="801" spans="1:8" x14ac:dyDescent="0.3">
      <c r="A801" s="12">
        <f>SK[[#This Row],[TARİH]]</f>
        <v>0</v>
      </c>
      <c r="B801" s="9">
        <f>SK[[#This Row],[TÜR]]</f>
        <v>0</v>
      </c>
      <c r="C801" s="9">
        <f>SK[[#This Row],[MALZEME ]]</f>
        <v>0</v>
      </c>
      <c r="D801" s="9">
        <f>SK[[#This Row],[KALİTE]]</f>
        <v>0</v>
      </c>
      <c r="E801" s="11">
        <f>SK[[#This Row],[FİRE]]</f>
        <v>0</v>
      </c>
      <c r="F801" s="11">
        <f>SK[[#This Row],[EŞİT FİRE]]</f>
        <v>0</v>
      </c>
      <c r="G801" s="9">
        <f>IF(MOD(SK[[#This Row],[GEREKLİ ADET]],2)=0,SK[[#This Row],[GEREKLİ ADET]],0)</f>
        <v>0</v>
      </c>
      <c r="H801" s="9">
        <f>SK[[#This Row],[SONDAN KALAN FİRE]]</f>
        <v>0</v>
      </c>
    </row>
    <row r="802" spans="1:8" x14ac:dyDescent="0.3">
      <c r="A802" s="12">
        <f>SK[[#This Row],[TARİH]]</f>
        <v>0</v>
      </c>
      <c r="B802" s="9">
        <f>SK[[#This Row],[TÜR]]</f>
        <v>0</v>
      </c>
      <c r="C802" s="9">
        <f>SK[[#This Row],[MALZEME ]]</f>
        <v>0</v>
      </c>
      <c r="D802" s="9">
        <f>SK[[#This Row],[KALİTE]]</f>
        <v>0</v>
      </c>
      <c r="E802" s="11">
        <f>SK[[#This Row],[FİRE]]</f>
        <v>0</v>
      </c>
      <c r="F802" s="11">
        <f>SK[[#This Row],[EŞİT FİRE]]</f>
        <v>0</v>
      </c>
      <c r="G802" s="9">
        <f>IF(MOD(SK[[#This Row],[GEREKLİ ADET]],2)=0,SK[[#This Row],[GEREKLİ ADET]],0)</f>
        <v>0</v>
      </c>
      <c r="H802" s="9">
        <f>SK[[#This Row],[SONDAN KALAN FİRE]]</f>
        <v>0</v>
      </c>
    </row>
    <row r="803" spans="1:8" x14ac:dyDescent="0.3">
      <c r="A803" s="12">
        <f>SK[[#This Row],[TARİH]]</f>
        <v>0</v>
      </c>
      <c r="B803" s="9">
        <f>SK[[#This Row],[TÜR]]</f>
        <v>0</v>
      </c>
      <c r="C803" s="9">
        <f>SK[[#This Row],[MALZEME ]]</f>
        <v>0</v>
      </c>
      <c r="D803" s="9">
        <f>SK[[#This Row],[KALİTE]]</f>
        <v>0</v>
      </c>
      <c r="E803" s="11">
        <f>SK[[#This Row],[FİRE]]</f>
        <v>0</v>
      </c>
      <c r="F803" s="11">
        <f>SK[[#This Row],[EŞİT FİRE]]</f>
        <v>0</v>
      </c>
      <c r="G803" s="9">
        <f>IF(MOD(SK[[#This Row],[GEREKLİ ADET]],2)=0,SK[[#This Row],[GEREKLİ ADET]],0)</f>
        <v>0</v>
      </c>
      <c r="H803" s="9">
        <f>SK[[#This Row],[SONDAN KALAN FİRE]]</f>
        <v>0</v>
      </c>
    </row>
    <row r="804" spans="1:8" x14ac:dyDescent="0.3">
      <c r="A804" s="12">
        <f>SK[[#This Row],[TARİH]]</f>
        <v>0</v>
      </c>
      <c r="B804" s="9">
        <f>SK[[#This Row],[TÜR]]</f>
        <v>0</v>
      </c>
      <c r="C804" s="9">
        <f>SK[[#This Row],[MALZEME ]]</f>
        <v>0</v>
      </c>
      <c r="D804" s="9">
        <f>SK[[#This Row],[KALİTE]]</f>
        <v>0</v>
      </c>
      <c r="E804" s="11">
        <f>SK[[#This Row],[FİRE]]</f>
        <v>0</v>
      </c>
      <c r="F804" s="11">
        <f>SK[[#This Row],[EŞİT FİRE]]</f>
        <v>0</v>
      </c>
      <c r="G804" s="9">
        <f>IF(MOD(SK[[#This Row],[GEREKLİ ADET]],2)=0,SK[[#This Row],[GEREKLİ ADET]],0)</f>
        <v>0</v>
      </c>
      <c r="H804" s="9">
        <f>SK[[#This Row],[SONDAN KALAN FİRE]]</f>
        <v>0</v>
      </c>
    </row>
    <row r="805" spans="1:8" x14ac:dyDescent="0.3">
      <c r="A805" s="12">
        <f>SK[[#This Row],[TARİH]]</f>
        <v>0</v>
      </c>
      <c r="B805" s="9">
        <f>SK[[#This Row],[TÜR]]</f>
        <v>0</v>
      </c>
      <c r="C805" s="9">
        <f>SK[[#This Row],[MALZEME ]]</f>
        <v>0</v>
      </c>
      <c r="D805" s="9">
        <f>SK[[#This Row],[KALİTE]]</f>
        <v>0</v>
      </c>
      <c r="E805" s="11">
        <f>SK[[#This Row],[FİRE]]</f>
        <v>0</v>
      </c>
      <c r="F805" s="11">
        <f>SK[[#This Row],[EŞİT FİRE]]</f>
        <v>0</v>
      </c>
      <c r="G805" s="9">
        <f>IF(MOD(SK[[#This Row],[GEREKLİ ADET]],2)=0,SK[[#This Row],[GEREKLİ ADET]],0)</f>
        <v>0</v>
      </c>
      <c r="H805" s="9">
        <f>SK[[#This Row],[SONDAN KALAN FİRE]]</f>
        <v>0</v>
      </c>
    </row>
    <row r="806" spans="1:8" x14ac:dyDescent="0.3">
      <c r="A806" s="12">
        <f>SK[[#This Row],[TARİH]]</f>
        <v>0</v>
      </c>
      <c r="B806" s="9">
        <f>SK[[#This Row],[TÜR]]</f>
        <v>0</v>
      </c>
      <c r="C806" s="9">
        <f>SK[[#This Row],[MALZEME ]]</f>
        <v>0</v>
      </c>
      <c r="D806" s="9">
        <f>SK[[#This Row],[KALİTE]]</f>
        <v>0</v>
      </c>
      <c r="E806" s="11">
        <f>SK[[#This Row],[FİRE]]</f>
        <v>0</v>
      </c>
      <c r="F806" s="11">
        <f>SK[[#This Row],[EŞİT FİRE]]</f>
        <v>0</v>
      </c>
      <c r="G806" s="9">
        <f>IF(MOD(SK[[#This Row],[GEREKLİ ADET]],2)=0,SK[[#This Row],[GEREKLİ ADET]],0)</f>
        <v>0</v>
      </c>
      <c r="H806" s="9">
        <f>SK[[#This Row],[SONDAN KALAN FİRE]]</f>
        <v>0</v>
      </c>
    </row>
    <row r="807" spans="1:8" x14ac:dyDescent="0.3">
      <c r="A807" s="12">
        <f>SK[[#This Row],[TARİH]]</f>
        <v>0</v>
      </c>
      <c r="B807" s="9">
        <f>SK[[#This Row],[TÜR]]</f>
        <v>0</v>
      </c>
      <c r="C807" s="9">
        <f>SK[[#This Row],[MALZEME ]]</f>
        <v>0</v>
      </c>
      <c r="D807" s="9">
        <f>SK[[#This Row],[KALİTE]]</f>
        <v>0</v>
      </c>
      <c r="E807" s="11">
        <f>SK[[#This Row],[FİRE]]</f>
        <v>0</v>
      </c>
      <c r="F807" s="11">
        <f>SK[[#This Row],[EŞİT FİRE]]</f>
        <v>0</v>
      </c>
      <c r="G807" s="9">
        <f>IF(MOD(SK[[#This Row],[GEREKLİ ADET]],2)=0,SK[[#This Row],[GEREKLİ ADET]],0)</f>
        <v>0</v>
      </c>
      <c r="H807" s="9">
        <f>SK[[#This Row],[SONDAN KALAN FİRE]]</f>
        <v>0</v>
      </c>
    </row>
    <row r="808" spans="1:8" x14ac:dyDescent="0.3">
      <c r="A808" s="12">
        <f>SK[[#This Row],[TARİH]]</f>
        <v>0</v>
      </c>
      <c r="B808" s="9">
        <f>SK[[#This Row],[TÜR]]</f>
        <v>0</v>
      </c>
      <c r="C808" s="9">
        <f>SK[[#This Row],[MALZEME ]]</f>
        <v>0</v>
      </c>
      <c r="D808" s="9">
        <f>SK[[#This Row],[KALİTE]]</f>
        <v>0</v>
      </c>
      <c r="E808" s="11">
        <f>SK[[#This Row],[FİRE]]</f>
        <v>0</v>
      </c>
      <c r="F808" s="11">
        <f>SK[[#This Row],[EŞİT FİRE]]</f>
        <v>0</v>
      </c>
      <c r="G808" s="9">
        <f>IF(MOD(SK[[#This Row],[GEREKLİ ADET]],2)=0,SK[[#This Row],[GEREKLİ ADET]],0)</f>
        <v>0</v>
      </c>
      <c r="H808" s="9">
        <f>SK[[#This Row],[SONDAN KALAN FİRE]]</f>
        <v>0</v>
      </c>
    </row>
    <row r="809" spans="1:8" x14ac:dyDescent="0.3">
      <c r="A809" s="12">
        <f>SK[[#This Row],[TARİH]]</f>
        <v>0</v>
      </c>
      <c r="B809" s="9">
        <f>SK[[#This Row],[TÜR]]</f>
        <v>0</v>
      </c>
      <c r="C809" s="9">
        <f>SK[[#This Row],[MALZEME ]]</f>
        <v>0</v>
      </c>
      <c r="D809" s="9">
        <f>SK[[#This Row],[KALİTE]]</f>
        <v>0</v>
      </c>
      <c r="E809" s="11">
        <f>SK[[#This Row],[FİRE]]</f>
        <v>0</v>
      </c>
      <c r="F809" s="11">
        <f>SK[[#This Row],[EŞİT FİRE]]</f>
        <v>0</v>
      </c>
      <c r="G809" s="9">
        <f>IF(MOD(SK[[#This Row],[GEREKLİ ADET]],2)=0,SK[[#This Row],[GEREKLİ ADET]],0)</f>
        <v>0</v>
      </c>
      <c r="H809" s="9">
        <f>SK[[#This Row],[SONDAN KALAN FİRE]]</f>
        <v>0</v>
      </c>
    </row>
    <row r="810" spans="1:8" x14ac:dyDescent="0.3">
      <c r="A810" s="12">
        <f>SK[[#This Row],[TARİH]]</f>
        <v>0</v>
      </c>
      <c r="B810" s="9">
        <f>SK[[#This Row],[TÜR]]</f>
        <v>0</v>
      </c>
      <c r="C810" s="9">
        <f>SK[[#This Row],[MALZEME ]]</f>
        <v>0</v>
      </c>
      <c r="D810" s="9">
        <f>SK[[#This Row],[KALİTE]]</f>
        <v>0</v>
      </c>
      <c r="E810" s="11">
        <f>SK[[#This Row],[FİRE]]</f>
        <v>0</v>
      </c>
      <c r="F810" s="11">
        <f>SK[[#This Row],[EŞİT FİRE]]</f>
        <v>0</v>
      </c>
      <c r="G810" s="9">
        <f>IF(MOD(SK[[#This Row],[GEREKLİ ADET]],2)=0,SK[[#This Row],[GEREKLİ ADET]],0)</f>
        <v>0</v>
      </c>
      <c r="H810" s="9">
        <f>SK[[#This Row],[SONDAN KALAN FİRE]]</f>
        <v>0</v>
      </c>
    </row>
    <row r="811" spans="1:8" x14ac:dyDescent="0.3">
      <c r="A811" s="12">
        <f>SK[[#This Row],[TARİH]]</f>
        <v>0</v>
      </c>
      <c r="B811" s="9">
        <f>SK[[#This Row],[TÜR]]</f>
        <v>0</v>
      </c>
      <c r="C811" s="9">
        <f>SK[[#This Row],[MALZEME ]]</f>
        <v>0</v>
      </c>
      <c r="D811" s="9">
        <f>SK[[#This Row],[KALİTE]]</f>
        <v>0</v>
      </c>
      <c r="E811" s="11">
        <f>SK[[#This Row],[FİRE]]</f>
        <v>0</v>
      </c>
      <c r="F811" s="11">
        <f>SK[[#This Row],[EŞİT FİRE]]</f>
        <v>0</v>
      </c>
      <c r="G811" s="9">
        <f>IF(MOD(SK[[#This Row],[GEREKLİ ADET]],2)=0,SK[[#This Row],[GEREKLİ ADET]],0)</f>
        <v>0</v>
      </c>
      <c r="H811" s="9">
        <f>SK[[#This Row],[SONDAN KALAN FİRE]]</f>
        <v>0</v>
      </c>
    </row>
    <row r="812" spans="1:8" x14ac:dyDescent="0.3">
      <c r="A812" s="12">
        <f>SK[[#This Row],[TARİH]]</f>
        <v>0</v>
      </c>
      <c r="B812" s="9">
        <f>SK[[#This Row],[TÜR]]</f>
        <v>0</v>
      </c>
      <c r="C812" s="9">
        <f>SK[[#This Row],[MALZEME ]]</f>
        <v>0</v>
      </c>
      <c r="D812" s="9">
        <f>SK[[#This Row],[KALİTE]]</f>
        <v>0</v>
      </c>
      <c r="E812" s="11">
        <f>SK[[#This Row],[FİRE]]</f>
        <v>0</v>
      </c>
      <c r="F812" s="11">
        <f>SK[[#This Row],[EŞİT FİRE]]</f>
        <v>0</v>
      </c>
      <c r="G812" s="9">
        <f>IF(MOD(SK[[#This Row],[GEREKLİ ADET]],2)=0,SK[[#This Row],[GEREKLİ ADET]],0)</f>
        <v>0</v>
      </c>
      <c r="H812" s="9">
        <f>SK[[#This Row],[SONDAN KALAN FİRE]]</f>
        <v>0</v>
      </c>
    </row>
    <row r="813" spans="1:8" x14ac:dyDescent="0.3">
      <c r="A813" s="12">
        <f>SK[[#This Row],[TARİH]]</f>
        <v>0</v>
      </c>
      <c r="B813" s="9">
        <f>SK[[#This Row],[TÜR]]</f>
        <v>0</v>
      </c>
      <c r="C813" s="9">
        <f>SK[[#This Row],[MALZEME ]]</f>
        <v>0</v>
      </c>
      <c r="D813" s="9">
        <f>SK[[#This Row],[KALİTE]]</f>
        <v>0</v>
      </c>
      <c r="E813" s="11">
        <f>SK[[#This Row],[FİRE]]</f>
        <v>0</v>
      </c>
      <c r="F813" s="11">
        <f>SK[[#This Row],[EŞİT FİRE]]</f>
        <v>0</v>
      </c>
      <c r="G813" s="9">
        <f>IF(MOD(SK[[#This Row],[GEREKLİ ADET]],2)=0,SK[[#This Row],[GEREKLİ ADET]],0)</f>
        <v>0</v>
      </c>
      <c r="H813" s="9">
        <f>SK[[#This Row],[SONDAN KALAN FİRE]]</f>
        <v>0</v>
      </c>
    </row>
    <row r="814" spans="1:8" x14ac:dyDescent="0.3">
      <c r="A814" s="12">
        <f>SK[[#This Row],[TARİH]]</f>
        <v>0</v>
      </c>
      <c r="B814" s="9">
        <f>SK[[#This Row],[TÜR]]</f>
        <v>0</v>
      </c>
      <c r="C814" s="9">
        <f>SK[[#This Row],[MALZEME ]]</f>
        <v>0</v>
      </c>
      <c r="D814" s="9">
        <f>SK[[#This Row],[KALİTE]]</f>
        <v>0</v>
      </c>
      <c r="E814" s="11">
        <f>SK[[#This Row],[FİRE]]</f>
        <v>0</v>
      </c>
      <c r="F814" s="11">
        <f>SK[[#This Row],[EŞİT FİRE]]</f>
        <v>0</v>
      </c>
      <c r="G814" s="9">
        <f>IF(MOD(SK[[#This Row],[GEREKLİ ADET]],2)=0,SK[[#This Row],[GEREKLİ ADET]],0)</f>
        <v>0</v>
      </c>
      <c r="H814" s="9">
        <f>SK[[#This Row],[SONDAN KALAN FİRE]]</f>
        <v>0</v>
      </c>
    </row>
    <row r="815" spans="1:8" x14ac:dyDescent="0.3">
      <c r="A815" s="12">
        <f>SK[[#This Row],[TARİH]]</f>
        <v>0</v>
      </c>
      <c r="B815" s="9">
        <f>SK[[#This Row],[TÜR]]</f>
        <v>0</v>
      </c>
      <c r="C815" s="9">
        <f>SK[[#This Row],[MALZEME ]]</f>
        <v>0</v>
      </c>
      <c r="D815" s="9">
        <f>SK[[#This Row],[KALİTE]]</f>
        <v>0</v>
      </c>
      <c r="E815" s="11">
        <f>SK[[#This Row],[FİRE]]</f>
        <v>0</v>
      </c>
      <c r="F815" s="11">
        <f>SK[[#This Row],[EŞİT FİRE]]</f>
        <v>0</v>
      </c>
      <c r="G815" s="9">
        <f>IF(MOD(SK[[#This Row],[GEREKLİ ADET]],2)=0,SK[[#This Row],[GEREKLİ ADET]],0)</f>
        <v>0</v>
      </c>
      <c r="H815" s="9">
        <f>SK[[#This Row],[SONDAN KALAN FİRE]]</f>
        <v>0</v>
      </c>
    </row>
    <row r="816" spans="1:8" x14ac:dyDescent="0.3">
      <c r="A816" s="12">
        <f>SK[[#This Row],[TARİH]]</f>
        <v>0</v>
      </c>
      <c r="B816" s="9">
        <f>SK[[#This Row],[TÜR]]</f>
        <v>0</v>
      </c>
      <c r="C816" s="9">
        <f>SK[[#This Row],[MALZEME ]]</f>
        <v>0</v>
      </c>
      <c r="D816" s="9">
        <f>SK[[#This Row],[KALİTE]]</f>
        <v>0</v>
      </c>
      <c r="E816" s="11">
        <f>SK[[#This Row],[FİRE]]</f>
        <v>0</v>
      </c>
      <c r="F816" s="11">
        <f>SK[[#This Row],[EŞİT FİRE]]</f>
        <v>0</v>
      </c>
      <c r="G816" s="9">
        <f>IF(MOD(SK[[#This Row],[GEREKLİ ADET]],2)=0,SK[[#This Row],[GEREKLİ ADET]],0)</f>
        <v>0</v>
      </c>
      <c r="H816" s="9">
        <f>SK[[#This Row],[SONDAN KALAN FİRE]]</f>
        <v>0</v>
      </c>
    </row>
    <row r="817" spans="1:8" x14ac:dyDescent="0.3">
      <c r="A817" s="12">
        <f>SK[[#This Row],[TARİH]]</f>
        <v>0</v>
      </c>
      <c r="B817" s="9">
        <f>SK[[#This Row],[TÜR]]</f>
        <v>0</v>
      </c>
      <c r="C817" s="9">
        <f>SK[[#This Row],[MALZEME ]]</f>
        <v>0</v>
      </c>
      <c r="D817" s="9">
        <f>SK[[#This Row],[KALİTE]]</f>
        <v>0</v>
      </c>
      <c r="E817" s="11">
        <f>SK[[#This Row],[FİRE]]</f>
        <v>0</v>
      </c>
      <c r="F817" s="11">
        <f>SK[[#This Row],[EŞİT FİRE]]</f>
        <v>0</v>
      </c>
      <c r="G817" s="9">
        <f>IF(MOD(SK[[#This Row],[GEREKLİ ADET]],2)=0,SK[[#This Row],[GEREKLİ ADET]],0)</f>
        <v>0</v>
      </c>
      <c r="H817" s="9">
        <f>SK[[#This Row],[SONDAN KALAN FİRE]]</f>
        <v>0</v>
      </c>
    </row>
    <row r="818" spans="1:8" x14ac:dyDescent="0.3">
      <c r="A818" s="12">
        <f>SK[[#This Row],[TARİH]]</f>
        <v>0</v>
      </c>
      <c r="B818" s="9">
        <f>SK[[#This Row],[TÜR]]</f>
        <v>0</v>
      </c>
      <c r="C818" s="9">
        <f>SK[[#This Row],[MALZEME ]]</f>
        <v>0</v>
      </c>
      <c r="D818" s="9">
        <f>SK[[#This Row],[KALİTE]]</f>
        <v>0</v>
      </c>
      <c r="E818" s="11">
        <f>SK[[#This Row],[FİRE]]</f>
        <v>0</v>
      </c>
      <c r="F818" s="11">
        <f>SK[[#This Row],[EŞİT FİRE]]</f>
        <v>0</v>
      </c>
      <c r="G818" s="9">
        <f>IF(MOD(SK[[#This Row],[GEREKLİ ADET]],2)=0,SK[[#This Row],[GEREKLİ ADET]],0)</f>
        <v>0</v>
      </c>
      <c r="H818" s="9">
        <f>SK[[#This Row],[SONDAN KALAN FİRE]]</f>
        <v>0</v>
      </c>
    </row>
    <row r="819" spans="1:8" x14ac:dyDescent="0.3">
      <c r="A819" s="12">
        <f>SK[[#This Row],[TARİH]]</f>
        <v>0</v>
      </c>
      <c r="B819" s="9">
        <f>SK[[#This Row],[TÜR]]</f>
        <v>0</v>
      </c>
      <c r="C819" s="9">
        <f>SK[[#This Row],[MALZEME ]]</f>
        <v>0</v>
      </c>
      <c r="D819" s="9">
        <f>SK[[#This Row],[KALİTE]]</f>
        <v>0</v>
      </c>
      <c r="E819" s="11">
        <f>SK[[#This Row],[FİRE]]</f>
        <v>0</v>
      </c>
      <c r="F819" s="11">
        <f>SK[[#This Row],[EŞİT FİRE]]</f>
        <v>0</v>
      </c>
      <c r="G819" s="9">
        <f>IF(MOD(SK[[#This Row],[GEREKLİ ADET]],2)=0,SK[[#This Row],[GEREKLİ ADET]],0)</f>
        <v>0</v>
      </c>
      <c r="H819" s="9">
        <f>SK[[#This Row],[SONDAN KALAN FİRE]]</f>
        <v>0</v>
      </c>
    </row>
    <row r="820" spans="1:8" x14ac:dyDescent="0.3">
      <c r="A820" s="12">
        <f>SK[[#This Row],[TARİH]]</f>
        <v>0</v>
      </c>
      <c r="B820" s="9">
        <f>SK[[#This Row],[TÜR]]</f>
        <v>0</v>
      </c>
      <c r="C820" s="9">
        <f>SK[[#This Row],[MALZEME ]]</f>
        <v>0</v>
      </c>
      <c r="D820" s="9">
        <f>SK[[#This Row],[KALİTE]]</f>
        <v>0</v>
      </c>
      <c r="E820" s="11">
        <f>SK[[#This Row],[FİRE]]</f>
        <v>0</v>
      </c>
      <c r="F820" s="11">
        <f>SK[[#This Row],[EŞİT FİRE]]</f>
        <v>0</v>
      </c>
      <c r="G820" s="9">
        <f>IF(MOD(SK[[#This Row],[GEREKLİ ADET]],2)=0,SK[[#This Row],[GEREKLİ ADET]],0)</f>
        <v>0</v>
      </c>
      <c r="H820" s="9">
        <f>SK[[#This Row],[SONDAN KALAN FİRE]]</f>
        <v>0</v>
      </c>
    </row>
    <row r="821" spans="1:8" x14ac:dyDescent="0.3">
      <c r="A821" s="12">
        <f>SK[[#This Row],[TARİH]]</f>
        <v>0</v>
      </c>
      <c r="B821" s="9">
        <f>SK[[#This Row],[TÜR]]</f>
        <v>0</v>
      </c>
      <c r="C821" s="9">
        <f>SK[[#This Row],[MALZEME ]]</f>
        <v>0</v>
      </c>
      <c r="D821" s="9">
        <f>SK[[#This Row],[KALİTE]]</f>
        <v>0</v>
      </c>
      <c r="E821" s="11">
        <f>SK[[#This Row],[FİRE]]</f>
        <v>0</v>
      </c>
      <c r="F821" s="11">
        <f>SK[[#This Row],[EŞİT FİRE]]</f>
        <v>0</v>
      </c>
      <c r="G821" s="9">
        <f>IF(MOD(SK[[#This Row],[GEREKLİ ADET]],2)=0,SK[[#This Row],[GEREKLİ ADET]],0)</f>
        <v>0</v>
      </c>
      <c r="H821" s="9">
        <f>SK[[#This Row],[SONDAN KALAN FİRE]]</f>
        <v>0</v>
      </c>
    </row>
    <row r="822" spans="1:8" x14ac:dyDescent="0.3">
      <c r="A822" s="12">
        <f>SK[[#This Row],[TARİH]]</f>
        <v>0</v>
      </c>
      <c r="B822" s="9">
        <f>SK[[#This Row],[TÜR]]</f>
        <v>0</v>
      </c>
      <c r="C822" s="9">
        <f>SK[[#This Row],[MALZEME ]]</f>
        <v>0</v>
      </c>
      <c r="D822" s="9">
        <f>SK[[#This Row],[KALİTE]]</f>
        <v>0</v>
      </c>
      <c r="E822" s="11">
        <f>SK[[#This Row],[FİRE]]</f>
        <v>0</v>
      </c>
      <c r="F822" s="11">
        <f>SK[[#This Row],[EŞİT FİRE]]</f>
        <v>0</v>
      </c>
      <c r="G822" s="9">
        <f>IF(MOD(SK[[#This Row],[GEREKLİ ADET]],2)=0,SK[[#This Row],[GEREKLİ ADET]],0)</f>
        <v>0</v>
      </c>
      <c r="H822" s="9">
        <f>SK[[#This Row],[SONDAN KALAN FİRE]]</f>
        <v>0</v>
      </c>
    </row>
    <row r="823" spans="1:8" x14ac:dyDescent="0.3">
      <c r="A823" s="12">
        <f>SK[[#This Row],[TARİH]]</f>
        <v>0</v>
      </c>
      <c r="B823" s="9">
        <f>SK[[#This Row],[TÜR]]</f>
        <v>0</v>
      </c>
      <c r="C823" s="9">
        <f>SK[[#This Row],[MALZEME ]]</f>
        <v>0</v>
      </c>
      <c r="D823" s="9">
        <f>SK[[#This Row],[KALİTE]]</f>
        <v>0</v>
      </c>
      <c r="E823" s="11">
        <f>SK[[#This Row],[FİRE]]</f>
        <v>0</v>
      </c>
      <c r="F823" s="11">
        <f>SK[[#This Row],[EŞİT FİRE]]</f>
        <v>0</v>
      </c>
      <c r="G823" s="9">
        <f>IF(MOD(SK[[#This Row],[GEREKLİ ADET]],2)=0,SK[[#This Row],[GEREKLİ ADET]],0)</f>
        <v>0</v>
      </c>
      <c r="H823" s="9">
        <f>SK[[#This Row],[SONDAN KALAN FİRE]]</f>
        <v>0</v>
      </c>
    </row>
    <row r="824" spans="1:8" x14ac:dyDescent="0.3">
      <c r="A824" s="12">
        <f>SK[[#This Row],[TARİH]]</f>
        <v>0</v>
      </c>
      <c r="B824" s="9">
        <f>SK[[#This Row],[TÜR]]</f>
        <v>0</v>
      </c>
      <c r="C824" s="9">
        <f>SK[[#This Row],[MALZEME ]]</f>
        <v>0</v>
      </c>
      <c r="D824" s="9">
        <f>SK[[#This Row],[KALİTE]]</f>
        <v>0</v>
      </c>
      <c r="E824" s="11">
        <f>SK[[#This Row],[FİRE]]</f>
        <v>0</v>
      </c>
      <c r="F824" s="11">
        <f>SK[[#This Row],[EŞİT FİRE]]</f>
        <v>0</v>
      </c>
      <c r="G824" s="9">
        <f>IF(MOD(SK[[#This Row],[GEREKLİ ADET]],2)=0,SK[[#This Row],[GEREKLİ ADET]],0)</f>
        <v>0</v>
      </c>
      <c r="H824" s="9">
        <f>SK[[#This Row],[SONDAN KALAN FİRE]]</f>
        <v>0</v>
      </c>
    </row>
    <row r="825" spans="1:8" x14ac:dyDescent="0.3">
      <c r="A825" s="12">
        <f>SK[[#This Row],[TARİH]]</f>
        <v>0</v>
      </c>
      <c r="B825" s="9">
        <f>SK[[#This Row],[TÜR]]</f>
        <v>0</v>
      </c>
      <c r="C825" s="9">
        <f>SK[[#This Row],[MALZEME ]]</f>
        <v>0</v>
      </c>
      <c r="D825" s="9">
        <f>SK[[#This Row],[KALİTE]]</f>
        <v>0</v>
      </c>
      <c r="E825" s="11">
        <f>SK[[#This Row],[FİRE]]</f>
        <v>0</v>
      </c>
      <c r="F825" s="11">
        <f>SK[[#This Row],[EŞİT FİRE]]</f>
        <v>0</v>
      </c>
      <c r="G825" s="9">
        <f>IF(MOD(SK[[#This Row],[GEREKLİ ADET]],2)=0,SK[[#This Row],[GEREKLİ ADET]],0)</f>
        <v>0</v>
      </c>
      <c r="H825" s="9">
        <f>SK[[#This Row],[SONDAN KALAN FİRE]]</f>
        <v>0</v>
      </c>
    </row>
    <row r="826" spans="1:8" x14ac:dyDescent="0.3">
      <c r="A826" s="12">
        <f>SK[[#This Row],[TARİH]]</f>
        <v>0</v>
      </c>
      <c r="B826" s="9">
        <f>SK[[#This Row],[TÜR]]</f>
        <v>0</v>
      </c>
      <c r="C826" s="9">
        <f>SK[[#This Row],[MALZEME ]]</f>
        <v>0</v>
      </c>
      <c r="D826" s="9">
        <f>SK[[#This Row],[KALİTE]]</f>
        <v>0</v>
      </c>
      <c r="E826" s="11">
        <f>SK[[#This Row],[FİRE]]</f>
        <v>0</v>
      </c>
      <c r="F826" s="11">
        <f>SK[[#This Row],[EŞİT FİRE]]</f>
        <v>0</v>
      </c>
      <c r="G826" s="9">
        <f>IF(MOD(SK[[#This Row],[GEREKLİ ADET]],2)=0,SK[[#This Row],[GEREKLİ ADET]],0)</f>
        <v>0</v>
      </c>
      <c r="H826" s="9">
        <f>SK[[#This Row],[SONDAN KALAN FİRE]]</f>
        <v>0</v>
      </c>
    </row>
    <row r="827" spans="1:8" x14ac:dyDescent="0.3">
      <c r="A827" s="12">
        <f>SK[[#This Row],[TARİH]]</f>
        <v>0</v>
      </c>
      <c r="B827" s="9">
        <f>SK[[#This Row],[TÜR]]</f>
        <v>0</v>
      </c>
      <c r="C827" s="9">
        <f>SK[[#This Row],[MALZEME ]]</f>
        <v>0</v>
      </c>
      <c r="D827" s="9">
        <f>SK[[#This Row],[KALİTE]]</f>
        <v>0</v>
      </c>
      <c r="E827" s="11">
        <f>SK[[#This Row],[FİRE]]</f>
        <v>0</v>
      </c>
      <c r="F827" s="11">
        <f>SK[[#This Row],[EŞİT FİRE]]</f>
        <v>0</v>
      </c>
      <c r="G827" s="9">
        <f>IF(MOD(SK[[#This Row],[GEREKLİ ADET]],2)=0,SK[[#This Row],[GEREKLİ ADET]],0)</f>
        <v>0</v>
      </c>
      <c r="H827" s="9">
        <f>SK[[#This Row],[SONDAN KALAN FİRE]]</f>
        <v>0</v>
      </c>
    </row>
    <row r="828" spans="1:8" x14ac:dyDescent="0.3">
      <c r="A828" s="12">
        <f>SK[[#This Row],[TARİH]]</f>
        <v>0</v>
      </c>
      <c r="B828" s="9">
        <f>SK[[#This Row],[TÜR]]</f>
        <v>0</v>
      </c>
      <c r="C828" s="9">
        <f>SK[[#This Row],[MALZEME ]]</f>
        <v>0</v>
      </c>
      <c r="D828" s="9">
        <f>SK[[#This Row],[KALİTE]]</f>
        <v>0</v>
      </c>
      <c r="E828" s="11">
        <f>SK[[#This Row],[FİRE]]</f>
        <v>0</v>
      </c>
      <c r="F828" s="11">
        <f>SK[[#This Row],[EŞİT FİRE]]</f>
        <v>0</v>
      </c>
      <c r="G828" s="9">
        <f>IF(MOD(SK[[#This Row],[GEREKLİ ADET]],2)=0,SK[[#This Row],[GEREKLİ ADET]],0)</f>
        <v>0</v>
      </c>
      <c r="H828" s="9">
        <f>SK[[#This Row],[SONDAN KALAN FİRE]]</f>
        <v>0</v>
      </c>
    </row>
    <row r="829" spans="1:8" x14ac:dyDescent="0.3">
      <c r="A829" s="12">
        <f>SK[[#This Row],[TARİH]]</f>
        <v>0</v>
      </c>
      <c r="B829" s="9">
        <f>SK[[#This Row],[TÜR]]</f>
        <v>0</v>
      </c>
      <c r="C829" s="9">
        <f>SK[[#This Row],[MALZEME ]]</f>
        <v>0</v>
      </c>
      <c r="D829" s="9">
        <f>SK[[#This Row],[KALİTE]]</f>
        <v>0</v>
      </c>
      <c r="E829" s="11">
        <f>SK[[#This Row],[FİRE]]</f>
        <v>0</v>
      </c>
      <c r="F829" s="11">
        <f>SK[[#This Row],[EŞİT FİRE]]</f>
        <v>0</v>
      </c>
      <c r="G829" s="9">
        <f>IF(MOD(SK[[#This Row],[GEREKLİ ADET]],2)=0,SK[[#This Row],[GEREKLİ ADET]],0)</f>
        <v>0</v>
      </c>
      <c r="H829" s="9">
        <f>SK[[#This Row],[SONDAN KALAN FİRE]]</f>
        <v>0</v>
      </c>
    </row>
    <row r="830" spans="1:8" x14ac:dyDescent="0.3">
      <c r="A830" s="12">
        <f>SK[[#This Row],[TARİH]]</f>
        <v>0</v>
      </c>
      <c r="B830" s="9">
        <f>SK[[#This Row],[TÜR]]</f>
        <v>0</v>
      </c>
      <c r="C830" s="9">
        <f>SK[[#This Row],[MALZEME ]]</f>
        <v>0</v>
      </c>
      <c r="D830" s="9">
        <f>SK[[#This Row],[KALİTE]]</f>
        <v>0</v>
      </c>
      <c r="E830" s="11">
        <f>SK[[#This Row],[FİRE]]</f>
        <v>0</v>
      </c>
      <c r="F830" s="11">
        <f>SK[[#This Row],[EŞİT FİRE]]</f>
        <v>0</v>
      </c>
      <c r="G830" s="9">
        <f>IF(MOD(SK[[#This Row],[GEREKLİ ADET]],2)=0,SK[[#This Row],[GEREKLİ ADET]],0)</f>
        <v>0</v>
      </c>
      <c r="H830" s="9">
        <f>SK[[#This Row],[SONDAN KALAN FİRE]]</f>
        <v>0</v>
      </c>
    </row>
    <row r="831" spans="1:8" x14ac:dyDescent="0.3">
      <c r="A831" s="12">
        <f>SK[[#This Row],[TARİH]]</f>
        <v>0</v>
      </c>
      <c r="B831" s="9">
        <f>SK[[#This Row],[TÜR]]</f>
        <v>0</v>
      </c>
      <c r="C831" s="9">
        <f>SK[[#This Row],[MALZEME ]]</f>
        <v>0</v>
      </c>
      <c r="D831" s="9">
        <f>SK[[#This Row],[KALİTE]]</f>
        <v>0</v>
      </c>
      <c r="E831" s="11">
        <f>SK[[#This Row],[FİRE]]</f>
        <v>0</v>
      </c>
      <c r="F831" s="11">
        <f>SK[[#This Row],[EŞİT FİRE]]</f>
        <v>0</v>
      </c>
      <c r="G831" s="9">
        <f>IF(MOD(SK[[#This Row],[GEREKLİ ADET]],2)=0,SK[[#This Row],[GEREKLİ ADET]],0)</f>
        <v>0</v>
      </c>
      <c r="H831" s="9">
        <f>SK[[#This Row],[SONDAN KALAN FİRE]]</f>
        <v>0</v>
      </c>
    </row>
    <row r="832" spans="1:8" x14ac:dyDescent="0.3">
      <c r="A832" s="12">
        <f>SK[[#This Row],[TARİH]]</f>
        <v>0</v>
      </c>
      <c r="B832" s="9">
        <f>SK[[#This Row],[TÜR]]</f>
        <v>0</v>
      </c>
      <c r="C832" s="9">
        <f>SK[[#This Row],[MALZEME ]]</f>
        <v>0</v>
      </c>
      <c r="D832" s="9">
        <f>SK[[#This Row],[KALİTE]]</f>
        <v>0</v>
      </c>
      <c r="E832" s="11">
        <f>SK[[#This Row],[FİRE]]</f>
        <v>0</v>
      </c>
      <c r="F832" s="11">
        <f>SK[[#This Row],[EŞİT FİRE]]</f>
        <v>0</v>
      </c>
      <c r="G832" s="9">
        <f>IF(MOD(SK[[#This Row],[GEREKLİ ADET]],2)=0,SK[[#This Row],[GEREKLİ ADET]],0)</f>
        <v>0</v>
      </c>
      <c r="H832" s="9">
        <f>SK[[#This Row],[SONDAN KALAN FİRE]]</f>
        <v>0</v>
      </c>
    </row>
    <row r="833" spans="1:8" x14ac:dyDescent="0.3">
      <c r="A833" s="12">
        <f>SK[[#This Row],[TARİH]]</f>
        <v>0</v>
      </c>
      <c r="B833" s="9">
        <f>SK[[#This Row],[TÜR]]</f>
        <v>0</v>
      </c>
      <c r="C833" s="9">
        <f>SK[[#This Row],[MALZEME ]]</f>
        <v>0</v>
      </c>
      <c r="D833" s="9">
        <f>SK[[#This Row],[KALİTE]]</f>
        <v>0</v>
      </c>
      <c r="E833" s="11">
        <f>SK[[#This Row],[FİRE]]</f>
        <v>0</v>
      </c>
      <c r="F833" s="11">
        <f>SK[[#This Row],[EŞİT FİRE]]</f>
        <v>0</v>
      </c>
      <c r="G833" s="9">
        <f>IF(MOD(SK[[#This Row],[GEREKLİ ADET]],2)=0,SK[[#This Row],[GEREKLİ ADET]],0)</f>
        <v>0</v>
      </c>
      <c r="H833" s="9">
        <f>SK[[#This Row],[SONDAN KALAN FİRE]]</f>
        <v>0</v>
      </c>
    </row>
    <row r="834" spans="1:8" x14ac:dyDescent="0.3">
      <c r="A834" s="12">
        <f>SK[[#This Row],[TARİH]]</f>
        <v>0</v>
      </c>
      <c r="B834" s="9">
        <f>SK[[#This Row],[TÜR]]</f>
        <v>0</v>
      </c>
      <c r="C834" s="9">
        <f>SK[[#This Row],[MALZEME ]]</f>
        <v>0</v>
      </c>
      <c r="D834" s="9">
        <f>SK[[#This Row],[KALİTE]]</f>
        <v>0</v>
      </c>
      <c r="E834" s="11">
        <f>SK[[#This Row],[FİRE]]</f>
        <v>0</v>
      </c>
      <c r="F834" s="11">
        <f>SK[[#This Row],[EŞİT FİRE]]</f>
        <v>0</v>
      </c>
      <c r="G834" s="9">
        <f>IF(MOD(SK[[#This Row],[GEREKLİ ADET]],2)=0,SK[[#This Row],[GEREKLİ ADET]],0)</f>
        <v>0</v>
      </c>
      <c r="H834" s="9">
        <f>SK[[#This Row],[SONDAN KALAN FİRE]]</f>
        <v>0</v>
      </c>
    </row>
    <row r="835" spans="1:8" x14ac:dyDescent="0.3">
      <c r="A835" s="12">
        <f>SK[[#This Row],[TARİH]]</f>
        <v>0</v>
      </c>
      <c r="B835" s="9">
        <f>SK[[#This Row],[TÜR]]</f>
        <v>0</v>
      </c>
      <c r="C835" s="9">
        <f>SK[[#This Row],[MALZEME ]]</f>
        <v>0</v>
      </c>
      <c r="D835" s="9">
        <f>SK[[#This Row],[KALİTE]]</f>
        <v>0</v>
      </c>
      <c r="E835" s="11">
        <f>SK[[#This Row],[FİRE]]</f>
        <v>0</v>
      </c>
      <c r="F835" s="11">
        <f>SK[[#This Row],[EŞİT FİRE]]</f>
        <v>0</v>
      </c>
      <c r="G835" s="9">
        <f>IF(MOD(SK[[#This Row],[GEREKLİ ADET]],2)=0,SK[[#This Row],[GEREKLİ ADET]],0)</f>
        <v>0</v>
      </c>
      <c r="H835" s="9">
        <f>SK[[#This Row],[SONDAN KALAN FİRE]]</f>
        <v>0</v>
      </c>
    </row>
    <row r="836" spans="1:8" x14ac:dyDescent="0.3">
      <c r="A836" s="12">
        <f>SK[[#This Row],[TARİH]]</f>
        <v>0</v>
      </c>
      <c r="B836" s="9">
        <f>SK[[#This Row],[TÜR]]</f>
        <v>0</v>
      </c>
      <c r="C836" s="9">
        <f>SK[[#This Row],[MALZEME ]]</f>
        <v>0</v>
      </c>
      <c r="D836" s="9">
        <f>SK[[#This Row],[KALİTE]]</f>
        <v>0</v>
      </c>
      <c r="E836" s="11">
        <f>SK[[#This Row],[FİRE]]</f>
        <v>0</v>
      </c>
      <c r="F836" s="11">
        <f>SK[[#This Row],[EŞİT FİRE]]</f>
        <v>0</v>
      </c>
      <c r="G836" s="9">
        <f>IF(MOD(SK[[#This Row],[GEREKLİ ADET]],2)=0,SK[[#This Row],[GEREKLİ ADET]],0)</f>
        <v>0</v>
      </c>
      <c r="H836" s="9">
        <f>SK[[#This Row],[SONDAN KALAN FİRE]]</f>
        <v>0</v>
      </c>
    </row>
    <row r="837" spans="1:8" x14ac:dyDescent="0.3">
      <c r="A837" s="12">
        <f>SK[[#This Row],[TARİH]]</f>
        <v>0</v>
      </c>
      <c r="B837" s="9">
        <f>SK[[#This Row],[TÜR]]</f>
        <v>0</v>
      </c>
      <c r="C837" s="9">
        <f>SK[[#This Row],[MALZEME ]]</f>
        <v>0</v>
      </c>
      <c r="D837" s="9">
        <f>SK[[#This Row],[KALİTE]]</f>
        <v>0</v>
      </c>
      <c r="E837" s="11">
        <f>SK[[#This Row],[FİRE]]</f>
        <v>0</v>
      </c>
      <c r="F837" s="11">
        <f>SK[[#This Row],[EŞİT FİRE]]</f>
        <v>0</v>
      </c>
      <c r="G837" s="9">
        <f>IF(MOD(SK[[#This Row],[GEREKLİ ADET]],2)=0,SK[[#This Row],[GEREKLİ ADET]],0)</f>
        <v>0</v>
      </c>
      <c r="H837" s="9">
        <f>SK[[#This Row],[SONDAN KALAN FİRE]]</f>
        <v>0</v>
      </c>
    </row>
    <row r="838" spans="1:8" x14ac:dyDescent="0.3">
      <c r="A838" s="12">
        <f>SK[[#This Row],[TARİH]]</f>
        <v>0</v>
      </c>
      <c r="B838" s="9">
        <f>SK[[#This Row],[TÜR]]</f>
        <v>0</v>
      </c>
      <c r="C838" s="9">
        <f>SK[[#This Row],[MALZEME ]]</f>
        <v>0</v>
      </c>
      <c r="D838" s="9">
        <f>SK[[#This Row],[KALİTE]]</f>
        <v>0</v>
      </c>
      <c r="E838" s="11">
        <f>SK[[#This Row],[FİRE]]</f>
        <v>0</v>
      </c>
      <c r="F838" s="11">
        <f>SK[[#This Row],[EŞİT FİRE]]</f>
        <v>0</v>
      </c>
      <c r="G838" s="9">
        <f>IF(MOD(SK[[#This Row],[GEREKLİ ADET]],2)=0,SK[[#This Row],[GEREKLİ ADET]],0)</f>
        <v>0</v>
      </c>
      <c r="H838" s="9">
        <f>SK[[#This Row],[SONDAN KALAN FİRE]]</f>
        <v>0</v>
      </c>
    </row>
    <row r="839" spans="1:8" x14ac:dyDescent="0.3">
      <c r="A839" s="12">
        <f>SK[[#This Row],[TARİH]]</f>
        <v>0</v>
      </c>
      <c r="B839" s="9">
        <f>SK[[#This Row],[TÜR]]</f>
        <v>0</v>
      </c>
      <c r="C839" s="9">
        <f>SK[[#This Row],[MALZEME ]]</f>
        <v>0</v>
      </c>
      <c r="D839" s="9">
        <f>SK[[#This Row],[KALİTE]]</f>
        <v>0</v>
      </c>
      <c r="E839" s="11">
        <f>SK[[#This Row],[FİRE]]</f>
        <v>0</v>
      </c>
      <c r="F839" s="11">
        <f>SK[[#This Row],[EŞİT FİRE]]</f>
        <v>0</v>
      </c>
      <c r="G839" s="9">
        <f>IF(MOD(SK[[#This Row],[GEREKLİ ADET]],2)=0,SK[[#This Row],[GEREKLİ ADET]],0)</f>
        <v>0</v>
      </c>
      <c r="H839" s="9">
        <f>SK[[#This Row],[SONDAN KALAN FİRE]]</f>
        <v>0</v>
      </c>
    </row>
    <row r="840" spans="1:8" x14ac:dyDescent="0.3">
      <c r="A840" s="12">
        <f>SK[[#This Row],[TARİH]]</f>
        <v>0</v>
      </c>
      <c r="B840" s="9">
        <f>SK[[#This Row],[TÜR]]</f>
        <v>0</v>
      </c>
      <c r="C840" s="9">
        <f>SK[[#This Row],[MALZEME ]]</f>
        <v>0</v>
      </c>
      <c r="D840" s="9">
        <f>SK[[#This Row],[KALİTE]]</f>
        <v>0</v>
      </c>
      <c r="E840" s="11">
        <f>SK[[#This Row],[FİRE]]</f>
        <v>0</v>
      </c>
      <c r="F840" s="11">
        <f>SK[[#This Row],[EŞİT FİRE]]</f>
        <v>0</v>
      </c>
      <c r="G840" s="9">
        <f>IF(MOD(SK[[#This Row],[GEREKLİ ADET]],2)=0,SK[[#This Row],[GEREKLİ ADET]],0)</f>
        <v>0</v>
      </c>
      <c r="H840" s="9">
        <f>SK[[#This Row],[SONDAN KALAN FİRE]]</f>
        <v>0</v>
      </c>
    </row>
    <row r="841" spans="1:8" x14ac:dyDescent="0.3">
      <c r="A841" s="12">
        <f>SK[[#This Row],[TARİH]]</f>
        <v>0</v>
      </c>
      <c r="B841" s="9">
        <f>SK[[#This Row],[TÜR]]</f>
        <v>0</v>
      </c>
      <c r="C841" s="9">
        <f>SK[[#This Row],[MALZEME ]]</f>
        <v>0</v>
      </c>
      <c r="D841" s="9">
        <f>SK[[#This Row],[KALİTE]]</f>
        <v>0</v>
      </c>
      <c r="E841" s="11">
        <f>SK[[#This Row],[FİRE]]</f>
        <v>0</v>
      </c>
      <c r="F841" s="11">
        <f>SK[[#This Row],[EŞİT FİRE]]</f>
        <v>0</v>
      </c>
      <c r="G841" s="9">
        <f>IF(MOD(SK[[#This Row],[GEREKLİ ADET]],2)=0,SK[[#This Row],[GEREKLİ ADET]],0)</f>
        <v>0</v>
      </c>
      <c r="H841" s="9">
        <f>SK[[#This Row],[SONDAN KALAN FİRE]]</f>
        <v>0</v>
      </c>
    </row>
    <row r="842" spans="1:8" x14ac:dyDescent="0.3">
      <c r="A842" s="12">
        <f>SK[[#This Row],[TARİH]]</f>
        <v>0</v>
      </c>
      <c r="B842" s="9">
        <f>SK[[#This Row],[TÜR]]</f>
        <v>0</v>
      </c>
      <c r="C842" s="9">
        <f>SK[[#This Row],[MALZEME ]]</f>
        <v>0</v>
      </c>
      <c r="D842" s="9">
        <f>SK[[#This Row],[KALİTE]]</f>
        <v>0</v>
      </c>
      <c r="E842" s="11">
        <f>SK[[#This Row],[FİRE]]</f>
        <v>0</v>
      </c>
      <c r="F842" s="11">
        <f>SK[[#This Row],[EŞİT FİRE]]</f>
        <v>0</v>
      </c>
      <c r="G842" s="9">
        <f>IF(MOD(SK[[#This Row],[GEREKLİ ADET]],2)=0,SK[[#This Row],[GEREKLİ ADET]],0)</f>
        <v>0</v>
      </c>
      <c r="H842" s="9">
        <f>SK[[#This Row],[SONDAN KALAN FİRE]]</f>
        <v>0</v>
      </c>
    </row>
    <row r="843" spans="1:8" x14ac:dyDescent="0.3">
      <c r="A843" s="12">
        <f>SK[[#This Row],[TARİH]]</f>
        <v>0</v>
      </c>
      <c r="B843" s="9">
        <f>SK[[#This Row],[TÜR]]</f>
        <v>0</v>
      </c>
      <c r="C843" s="9">
        <f>SK[[#This Row],[MALZEME ]]</f>
        <v>0</v>
      </c>
      <c r="D843" s="9">
        <f>SK[[#This Row],[KALİTE]]</f>
        <v>0</v>
      </c>
      <c r="E843" s="11">
        <f>SK[[#This Row],[FİRE]]</f>
        <v>0</v>
      </c>
      <c r="F843" s="11">
        <f>SK[[#This Row],[EŞİT FİRE]]</f>
        <v>0</v>
      </c>
      <c r="G843" s="9">
        <f>IF(MOD(SK[[#This Row],[GEREKLİ ADET]],2)=0,SK[[#This Row],[GEREKLİ ADET]],0)</f>
        <v>0</v>
      </c>
      <c r="H843" s="9">
        <f>SK[[#This Row],[SONDAN KALAN FİRE]]</f>
        <v>0</v>
      </c>
    </row>
    <row r="844" spans="1:8" x14ac:dyDescent="0.3">
      <c r="A844" s="12">
        <f>SK[[#This Row],[TARİH]]</f>
        <v>0</v>
      </c>
      <c r="B844" s="9">
        <f>SK[[#This Row],[TÜR]]</f>
        <v>0</v>
      </c>
      <c r="C844" s="9">
        <f>SK[[#This Row],[MALZEME ]]</f>
        <v>0</v>
      </c>
      <c r="D844" s="9">
        <f>SK[[#This Row],[KALİTE]]</f>
        <v>0</v>
      </c>
      <c r="E844" s="11">
        <f>SK[[#This Row],[FİRE]]</f>
        <v>0</v>
      </c>
      <c r="F844" s="11">
        <f>SK[[#This Row],[EŞİT FİRE]]</f>
        <v>0</v>
      </c>
      <c r="G844" s="9">
        <f>IF(MOD(SK[[#This Row],[GEREKLİ ADET]],2)=0,SK[[#This Row],[GEREKLİ ADET]],0)</f>
        <v>0</v>
      </c>
      <c r="H844" s="9">
        <f>SK[[#This Row],[SONDAN KALAN FİRE]]</f>
        <v>0</v>
      </c>
    </row>
    <row r="845" spans="1:8" x14ac:dyDescent="0.3">
      <c r="A845" s="12">
        <f>SK[[#This Row],[TARİH]]</f>
        <v>0</v>
      </c>
      <c r="B845" s="9">
        <f>SK[[#This Row],[TÜR]]</f>
        <v>0</v>
      </c>
      <c r="C845" s="9">
        <f>SK[[#This Row],[MALZEME ]]</f>
        <v>0</v>
      </c>
      <c r="D845" s="9">
        <f>SK[[#This Row],[KALİTE]]</f>
        <v>0</v>
      </c>
      <c r="E845" s="11">
        <f>SK[[#This Row],[FİRE]]</f>
        <v>0</v>
      </c>
      <c r="F845" s="11">
        <f>SK[[#This Row],[EŞİT FİRE]]</f>
        <v>0</v>
      </c>
      <c r="G845" s="9">
        <f>IF(MOD(SK[[#This Row],[GEREKLİ ADET]],2)=0,SK[[#This Row],[GEREKLİ ADET]],0)</f>
        <v>0</v>
      </c>
      <c r="H845" s="9">
        <f>SK[[#This Row],[SONDAN KALAN FİRE]]</f>
        <v>0</v>
      </c>
    </row>
    <row r="846" spans="1:8" x14ac:dyDescent="0.3">
      <c r="A846" s="12">
        <f>SK[[#This Row],[TARİH]]</f>
        <v>0</v>
      </c>
      <c r="B846" s="9">
        <f>SK[[#This Row],[TÜR]]</f>
        <v>0</v>
      </c>
      <c r="C846" s="9">
        <f>SK[[#This Row],[MALZEME ]]</f>
        <v>0</v>
      </c>
      <c r="D846" s="9">
        <f>SK[[#This Row],[KALİTE]]</f>
        <v>0</v>
      </c>
      <c r="E846" s="11">
        <f>SK[[#This Row],[FİRE]]</f>
        <v>0</v>
      </c>
      <c r="F846" s="11">
        <f>SK[[#This Row],[EŞİT FİRE]]</f>
        <v>0</v>
      </c>
      <c r="G846" s="9">
        <f>IF(MOD(SK[[#This Row],[GEREKLİ ADET]],2)=0,SK[[#This Row],[GEREKLİ ADET]],0)</f>
        <v>0</v>
      </c>
      <c r="H846" s="9">
        <f>SK[[#This Row],[SONDAN KALAN FİRE]]</f>
        <v>0</v>
      </c>
    </row>
    <row r="847" spans="1:8" x14ac:dyDescent="0.3">
      <c r="A847" s="12">
        <f>SK[[#This Row],[TARİH]]</f>
        <v>0</v>
      </c>
      <c r="B847" s="9">
        <f>SK[[#This Row],[TÜR]]</f>
        <v>0</v>
      </c>
      <c r="C847" s="9">
        <f>SK[[#This Row],[MALZEME ]]</f>
        <v>0</v>
      </c>
      <c r="D847" s="9">
        <f>SK[[#This Row],[KALİTE]]</f>
        <v>0</v>
      </c>
      <c r="E847" s="11">
        <f>SK[[#This Row],[FİRE]]</f>
        <v>0</v>
      </c>
      <c r="F847" s="11">
        <f>SK[[#This Row],[EŞİT FİRE]]</f>
        <v>0</v>
      </c>
      <c r="G847" s="9">
        <f>IF(MOD(SK[[#This Row],[GEREKLİ ADET]],2)=0,SK[[#This Row],[GEREKLİ ADET]],0)</f>
        <v>0</v>
      </c>
      <c r="H847" s="9">
        <f>SK[[#This Row],[SONDAN KALAN FİRE]]</f>
        <v>0</v>
      </c>
    </row>
    <row r="848" spans="1:8" x14ac:dyDescent="0.3">
      <c r="A848" s="12">
        <f>SK[[#This Row],[TARİH]]</f>
        <v>0</v>
      </c>
      <c r="B848" s="9">
        <f>SK[[#This Row],[TÜR]]</f>
        <v>0</v>
      </c>
      <c r="C848" s="9">
        <f>SK[[#This Row],[MALZEME ]]</f>
        <v>0</v>
      </c>
      <c r="D848" s="9">
        <f>SK[[#This Row],[KALİTE]]</f>
        <v>0</v>
      </c>
      <c r="E848" s="11">
        <f>SK[[#This Row],[FİRE]]</f>
        <v>0</v>
      </c>
      <c r="F848" s="11">
        <f>SK[[#This Row],[EŞİT FİRE]]</f>
        <v>0</v>
      </c>
      <c r="G848" s="9">
        <f>IF(MOD(SK[[#This Row],[GEREKLİ ADET]],2)=0,SK[[#This Row],[GEREKLİ ADET]],0)</f>
        <v>0</v>
      </c>
      <c r="H848" s="9">
        <f>SK[[#This Row],[SONDAN KALAN FİRE]]</f>
        <v>0</v>
      </c>
    </row>
    <row r="849" spans="1:8" x14ac:dyDescent="0.3">
      <c r="A849" s="12">
        <f>SK[[#This Row],[TARİH]]</f>
        <v>0</v>
      </c>
      <c r="B849" s="9">
        <f>SK[[#This Row],[TÜR]]</f>
        <v>0</v>
      </c>
      <c r="C849" s="9">
        <f>SK[[#This Row],[MALZEME ]]</f>
        <v>0</v>
      </c>
      <c r="D849" s="9">
        <f>SK[[#This Row],[KALİTE]]</f>
        <v>0</v>
      </c>
      <c r="E849" s="11">
        <f>SK[[#This Row],[FİRE]]</f>
        <v>0</v>
      </c>
      <c r="F849" s="11">
        <f>SK[[#This Row],[EŞİT FİRE]]</f>
        <v>0</v>
      </c>
      <c r="G849" s="9">
        <f>IF(MOD(SK[[#This Row],[GEREKLİ ADET]],2)=0,SK[[#This Row],[GEREKLİ ADET]],0)</f>
        <v>0</v>
      </c>
      <c r="H849" s="9">
        <f>SK[[#This Row],[SONDAN KALAN FİRE]]</f>
        <v>0</v>
      </c>
    </row>
    <row r="850" spans="1:8" x14ac:dyDescent="0.3">
      <c r="A850" s="12">
        <f>SK[[#This Row],[TARİH]]</f>
        <v>0</v>
      </c>
      <c r="B850" s="9">
        <f>SK[[#This Row],[TÜR]]</f>
        <v>0</v>
      </c>
      <c r="C850" s="9">
        <f>SK[[#This Row],[MALZEME ]]</f>
        <v>0</v>
      </c>
      <c r="D850" s="9">
        <f>SK[[#This Row],[KALİTE]]</f>
        <v>0</v>
      </c>
      <c r="E850" s="11">
        <f>SK[[#This Row],[FİRE]]</f>
        <v>0</v>
      </c>
      <c r="F850" s="11">
        <f>SK[[#This Row],[EŞİT FİRE]]</f>
        <v>0</v>
      </c>
      <c r="G850" s="9">
        <f>IF(MOD(SK[[#This Row],[GEREKLİ ADET]],2)=0,SK[[#This Row],[GEREKLİ ADET]],0)</f>
        <v>0</v>
      </c>
      <c r="H850" s="9">
        <f>SK[[#This Row],[SONDAN KALAN FİRE]]</f>
        <v>0</v>
      </c>
    </row>
    <row r="851" spans="1:8" x14ac:dyDescent="0.3">
      <c r="A851" s="12">
        <f>SK[[#This Row],[TARİH]]</f>
        <v>0</v>
      </c>
      <c r="B851" s="9">
        <f>SK[[#This Row],[TÜR]]</f>
        <v>0</v>
      </c>
      <c r="C851" s="9">
        <f>SK[[#This Row],[MALZEME ]]</f>
        <v>0</v>
      </c>
      <c r="D851" s="9">
        <f>SK[[#This Row],[KALİTE]]</f>
        <v>0</v>
      </c>
      <c r="E851" s="11">
        <f>SK[[#This Row],[FİRE]]</f>
        <v>0</v>
      </c>
      <c r="F851" s="11">
        <f>SK[[#This Row],[EŞİT FİRE]]</f>
        <v>0</v>
      </c>
      <c r="G851" s="9">
        <f>IF(MOD(SK[[#This Row],[GEREKLİ ADET]],2)=0,SK[[#This Row],[GEREKLİ ADET]],0)</f>
        <v>0</v>
      </c>
      <c r="H851" s="9">
        <f>SK[[#This Row],[SONDAN KALAN FİRE]]</f>
        <v>0</v>
      </c>
    </row>
    <row r="852" spans="1:8" x14ac:dyDescent="0.3">
      <c r="A852" s="12">
        <f>SK[[#This Row],[TARİH]]</f>
        <v>0</v>
      </c>
      <c r="B852" s="9">
        <f>SK[[#This Row],[TÜR]]</f>
        <v>0</v>
      </c>
      <c r="C852" s="9">
        <f>SK[[#This Row],[MALZEME ]]</f>
        <v>0</v>
      </c>
      <c r="D852" s="9">
        <f>SK[[#This Row],[KALİTE]]</f>
        <v>0</v>
      </c>
      <c r="E852" s="11">
        <f>SK[[#This Row],[FİRE]]</f>
        <v>0</v>
      </c>
      <c r="F852" s="11">
        <f>SK[[#This Row],[EŞİT FİRE]]</f>
        <v>0</v>
      </c>
      <c r="G852" s="9">
        <f>IF(MOD(SK[[#This Row],[GEREKLİ ADET]],2)=0,SK[[#This Row],[GEREKLİ ADET]],0)</f>
        <v>0</v>
      </c>
      <c r="H852" s="9">
        <f>SK[[#This Row],[SONDAN KALAN FİRE]]</f>
        <v>0</v>
      </c>
    </row>
    <row r="853" spans="1:8" x14ac:dyDescent="0.3">
      <c r="A853" s="12">
        <f>SK[[#This Row],[TARİH]]</f>
        <v>0</v>
      </c>
      <c r="B853" s="9">
        <f>SK[[#This Row],[TÜR]]</f>
        <v>0</v>
      </c>
      <c r="C853" s="9">
        <f>SK[[#This Row],[MALZEME ]]</f>
        <v>0</v>
      </c>
      <c r="D853" s="9">
        <f>SK[[#This Row],[KALİTE]]</f>
        <v>0</v>
      </c>
      <c r="E853" s="11">
        <f>SK[[#This Row],[FİRE]]</f>
        <v>0</v>
      </c>
      <c r="F853" s="11">
        <f>SK[[#This Row],[EŞİT FİRE]]</f>
        <v>0</v>
      </c>
      <c r="G853" s="9">
        <f>IF(MOD(SK[[#This Row],[GEREKLİ ADET]],2)=0,SK[[#This Row],[GEREKLİ ADET]],0)</f>
        <v>0</v>
      </c>
      <c r="H853" s="9">
        <f>SK[[#This Row],[SONDAN KALAN FİRE]]</f>
        <v>0</v>
      </c>
    </row>
    <row r="854" spans="1:8" x14ac:dyDescent="0.3">
      <c r="A854" s="12">
        <f>SK[[#This Row],[TARİH]]</f>
        <v>0</v>
      </c>
      <c r="B854" s="9">
        <f>SK[[#This Row],[TÜR]]</f>
        <v>0</v>
      </c>
      <c r="C854" s="9">
        <f>SK[[#This Row],[MALZEME ]]</f>
        <v>0</v>
      </c>
      <c r="D854" s="9">
        <f>SK[[#This Row],[KALİTE]]</f>
        <v>0</v>
      </c>
      <c r="E854" s="11">
        <f>SK[[#This Row],[FİRE]]</f>
        <v>0</v>
      </c>
      <c r="F854" s="11">
        <f>SK[[#This Row],[EŞİT FİRE]]</f>
        <v>0</v>
      </c>
      <c r="G854" s="9">
        <f>IF(MOD(SK[[#This Row],[GEREKLİ ADET]],2)=0,SK[[#This Row],[GEREKLİ ADET]],0)</f>
        <v>0</v>
      </c>
      <c r="H854" s="9">
        <f>SK[[#This Row],[SONDAN KALAN FİRE]]</f>
        <v>0</v>
      </c>
    </row>
    <row r="855" spans="1:8" x14ac:dyDescent="0.3">
      <c r="A855" s="12">
        <f>SK[[#This Row],[TARİH]]</f>
        <v>0</v>
      </c>
      <c r="B855" s="9">
        <f>SK[[#This Row],[TÜR]]</f>
        <v>0</v>
      </c>
      <c r="C855" s="9">
        <f>SK[[#This Row],[MALZEME ]]</f>
        <v>0</v>
      </c>
      <c r="D855" s="9">
        <f>SK[[#This Row],[KALİTE]]</f>
        <v>0</v>
      </c>
      <c r="E855" s="11">
        <f>SK[[#This Row],[FİRE]]</f>
        <v>0</v>
      </c>
      <c r="F855" s="11">
        <f>SK[[#This Row],[EŞİT FİRE]]</f>
        <v>0</v>
      </c>
      <c r="G855" s="9">
        <f>IF(MOD(SK[[#This Row],[GEREKLİ ADET]],2)=0,SK[[#This Row],[GEREKLİ ADET]],0)</f>
        <v>0</v>
      </c>
      <c r="H855" s="9">
        <f>SK[[#This Row],[SONDAN KALAN FİRE]]</f>
        <v>0</v>
      </c>
    </row>
    <row r="856" spans="1:8" x14ac:dyDescent="0.3">
      <c r="A856" s="12">
        <f>SK[[#This Row],[TARİH]]</f>
        <v>0</v>
      </c>
      <c r="B856" s="9">
        <f>SK[[#This Row],[TÜR]]</f>
        <v>0</v>
      </c>
      <c r="C856" s="9">
        <f>SK[[#This Row],[MALZEME ]]</f>
        <v>0</v>
      </c>
      <c r="D856" s="9">
        <f>SK[[#This Row],[KALİTE]]</f>
        <v>0</v>
      </c>
      <c r="E856" s="11">
        <f>SK[[#This Row],[FİRE]]</f>
        <v>0</v>
      </c>
      <c r="F856" s="11">
        <f>SK[[#This Row],[EŞİT FİRE]]</f>
        <v>0</v>
      </c>
      <c r="G856" s="9">
        <f>IF(MOD(SK[[#This Row],[GEREKLİ ADET]],2)=0,SK[[#This Row],[GEREKLİ ADET]],0)</f>
        <v>0</v>
      </c>
      <c r="H856" s="9">
        <f>SK[[#This Row],[SONDAN KALAN FİRE]]</f>
        <v>0</v>
      </c>
    </row>
    <row r="857" spans="1:8" x14ac:dyDescent="0.3">
      <c r="A857" s="12">
        <f>SK[[#This Row],[TARİH]]</f>
        <v>0</v>
      </c>
      <c r="B857" s="9">
        <f>SK[[#This Row],[TÜR]]</f>
        <v>0</v>
      </c>
      <c r="C857" s="9">
        <f>SK[[#This Row],[MALZEME ]]</f>
        <v>0</v>
      </c>
      <c r="D857" s="9">
        <f>SK[[#This Row],[KALİTE]]</f>
        <v>0</v>
      </c>
      <c r="E857" s="11">
        <f>SK[[#This Row],[FİRE]]</f>
        <v>0</v>
      </c>
      <c r="F857" s="11">
        <f>SK[[#This Row],[EŞİT FİRE]]</f>
        <v>0</v>
      </c>
      <c r="G857" s="9">
        <f>IF(MOD(SK[[#This Row],[GEREKLİ ADET]],2)=0,SK[[#This Row],[GEREKLİ ADET]],0)</f>
        <v>0</v>
      </c>
      <c r="H857" s="9">
        <f>SK[[#This Row],[SONDAN KALAN FİRE]]</f>
        <v>0</v>
      </c>
    </row>
    <row r="858" spans="1:8" x14ac:dyDescent="0.3">
      <c r="A858" s="12">
        <f>SK[[#This Row],[TARİH]]</f>
        <v>0</v>
      </c>
      <c r="B858" s="9">
        <f>SK[[#This Row],[TÜR]]</f>
        <v>0</v>
      </c>
      <c r="C858" s="9">
        <f>SK[[#This Row],[MALZEME ]]</f>
        <v>0</v>
      </c>
      <c r="D858" s="9">
        <f>SK[[#This Row],[KALİTE]]</f>
        <v>0</v>
      </c>
      <c r="E858" s="11">
        <f>SK[[#This Row],[FİRE]]</f>
        <v>0</v>
      </c>
      <c r="F858" s="11">
        <f>SK[[#This Row],[EŞİT FİRE]]</f>
        <v>0</v>
      </c>
      <c r="G858" s="9">
        <f>IF(MOD(SK[[#This Row],[GEREKLİ ADET]],2)=0,SK[[#This Row],[GEREKLİ ADET]],0)</f>
        <v>0</v>
      </c>
      <c r="H858" s="9">
        <f>SK[[#This Row],[SONDAN KALAN FİRE]]</f>
        <v>0</v>
      </c>
    </row>
    <row r="859" spans="1:8" x14ac:dyDescent="0.3">
      <c r="A859" s="12">
        <f>SK[[#This Row],[TARİH]]</f>
        <v>0</v>
      </c>
      <c r="B859" s="9">
        <f>SK[[#This Row],[TÜR]]</f>
        <v>0</v>
      </c>
      <c r="C859" s="9">
        <f>SK[[#This Row],[MALZEME ]]</f>
        <v>0</v>
      </c>
      <c r="D859" s="9">
        <f>SK[[#This Row],[KALİTE]]</f>
        <v>0</v>
      </c>
      <c r="E859" s="11">
        <f>SK[[#This Row],[FİRE]]</f>
        <v>0</v>
      </c>
      <c r="F859" s="11">
        <f>SK[[#This Row],[EŞİT FİRE]]</f>
        <v>0</v>
      </c>
      <c r="G859" s="9">
        <f>IF(MOD(SK[[#This Row],[GEREKLİ ADET]],2)=0,SK[[#This Row],[GEREKLİ ADET]],0)</f>
        <v>0</v>
      </c>
      <c r="H859" s="9">
        <f>SK[[#This Row],[SONDAN KALAN FİRE]]</f>
        <v>0</v>
      </c>
    </row>
    <row r="860" spans="1:8" x14ac:dyDescent="0.3">
      <c r="A860" s="12">
        <f>SK[[#This Row],[TARİH]]</f>
        <v>0</v>
      </c>
      <c r="B860" s="9">
        <f>SK[[#This Row],[TÜR]]</f>
        <v>0</v>
      </c>
      <c r="C860" s="9">
        <f>SK[[#This Row],[MALZEME ]]</f>
        <v>0</v>
      </c>
      <c r="D860" s="9">
        <f>SK[[#This Row],[KALİTE]]</f>
        <v>0</v>
      </c>
      <c r="E860" s="11">
        <f>SK[[#This Row],[FİRE]]</f>
        <v>0</v>
      </c>
      <c r="F860" s="11">
        <f>SK[[#This Row],[EŞİT FİRE]]</f>
        <v>0</v>
      </c>
      <c r="G860" s="9">
        <f>IF(MOD(SK[[#This Row],[GEREKLİ ADET]],2)=0,SK[[#This Row],[GEREKLİ ADET]],0)</f>
        <v>0</v>
      </c>
      <c r="H860" s="9">
        <f>SK[[#This Row],[SONDAN KALAN FİRE]]</f>
        <v>0</v>
      </c>
    </row>
    <row r="861" spans="1:8" x14ac:dyDescent="0.3">
      <c r="A861" s="12">
        <f>SK[[#This Row],[TARİH]]</f>
        <v>0</v>
      </c>
      <c r="B861" s="9">
        <f>SK[[#This Row],[TÜR]]</f>
        <v>0</v>
      </c>
      <c r="C861" s="9">
        <f>SK[[#This Row],[MALZEME ]]</f>
        <v>0</v>
      </c>
      <c r="D861" s="9">
        <f>SK[[#This Row],[KALİTE]]</f>
        <v>0</v>
      </c>
      <c r="E861" s="11">
        <f>SK[[#This Row],[FİRE]]</f>
        <v>0</v>
      </c>
      <c r="F861" s="11">
        <f>SK[[#This Row],[EŞİT FİRE]]</f>
        <v>0</v>
      </c>
      <c r="G861" s="9">
        <f>IF(MOD(SK[[#This Row],[GEREKLİ ADET]],2)=0,SK[[#This Row],[GEREKLİ ADET]],0)</f>
        <v>0</v>
      </c>
      <c r="H861" s="9">
        <f>SK[[#This Row],[SONDAN KALAN FİRE]]</f>
        <v>0</v>
      </c>
    </row>
    <row r="862" spans="1:8" x14ac:dyDescent="0.3">
      <c r="A862" s="12">
        <f>SK[[#This Row],[TARİH]]</f>
        <v>0</v>
      </c>
      <c r="B862" s="9">
        <f>SK[[#This Row],[TÜR]]</f>
        <v>0</v>
      </c>
      <c r="C862" s="9">
        <f>SK[[#This Row],[MALZEME ]]</f>
        <v>0</v>
      </c>
      <c r="D862" s="9">
        <f>SK[[#This Row],[KALİTE]]</f>
        <v>0</v>
      </c>
      <c r="E862" s="11">
        <f>SK[[#This Row],[FİRE]]</f>
        <v>0</v>
      </c>
      <c r="F862" s="11">
        <f>SK[[#This Row],[EŞİT FİRE]]</f>
        <v>0</v>
      </c>
      <c r="G862" s="9">
        <f>IF(MOD(SK[[#This Row],[GEREKLİ ADET]],2)=0,SK[[#This Row],[GEREKLİ ADET]],0)</f>
        <v>0</v>
      </c>
      <c r="H862" s="9">
        <f>SK[[#This Row],[SONDAN KALAN FİRE]]</f>
        <v>0</v>
      </c>
    </row>
    <row r="863" spans="1:8" x14ac:dyDescent="0.3">
      <c r="A863" s="12">
        <f>SK[[#This Row],[TARİH]]</f>
        <v>0</v>
      </c>
      <c r="B863" s="9">
        <f>SK[[#This Row],[TÜR]]</f>
        <v>0</v>
      </c>
      <c r="C863" s="9">
        <f>SK[[#This Row],[MALZEME ]]</f>
        <v>0</v>
      </c>
      <c r="D863" s="9">
        <f>SK[[#This Row],[KALİTE]]</f>
        <v>0</v>
      </c>
      <c r="E863" s="11">
        <f>SK[[#This Row],[FİRE]]</f>
        <v>0</v>
      </c>
      <c r="F863" s="11">
        <f>SK[[#This Row],[EŞİT FİRE]]</f>
        <v>0</v>
      </c>
      <c r="G863" s="9">
        <f>IF(MOD(SK[[#This Row],[GEREKLİ ADET]],2)=0,SK[[#This Row],[GEREKLİ ADET]],0)</f>
        <v>0</v>
      </c>
      <c r="H863" s="9">
        <f>SK[[#This Row],[SONDAN KALAN FİRE]]</f>
        <v>0</v>
      </c>
    </row>
    <row r="864" spans="1:8" x14ac:dyDescent="0.3">
      <c r="A864" s="12">
        <f>SK[[#This Row],[TARİH]]</f>
        <v>0</v>
      </c>
      <c r="B864" s="9">
        <f>SK[[#This Row],[TÜR]]</f>
        <v>0</v>
      </c>
      <c r="C864" s="9">
        <f>SK[[#This Row],[MALZEME ]]</f>
        <v>0</v>
      </c>
      <c r="D864" s="9">
        <f>SK[[#This Row],[KALİTE]]</f>
        <v>0</v>
      </c>
      <c r="E864" s="11">
        <f>SK[[#This Row],[FİRE]]</f>
        <v>0</v>
      </c>
      <c r="F864" s="11">
        <f>SK[[#This Row],[EŞİT FİRE]]</f>
        <v>0</v>
      </c>
      <c r="G864" s="9">
        <f>IF(MOD(SK[[#This Row],[GEREKLİ ADET]],2)=0,SK[[#This Row],[GEREKLİ ADET]],0)</f>
        <v>0</v>
      </c>
      <c r="H864" s="9">
        <f>SK[[#This Row],[SONDAN KALAN FİRE]]</f>
        <v>0</v>
      </c>
    </row>
    <row r="865" spans="1:8" x14ac:dyDescent="0.3">
      <c r="A865" s="12">
        <f>SK[[#This Row],[TARİH]]</f>
        <v>0</v>
      </c>
      <c r="B865" s="9">
        <f>SK[[#This Row],[TÜR]]</f>
        <v>0</v>
      </c>
      <c r="C865" s="9">
        <f>SK[[#This Row],[MALZEME ]]</f>
        <v>0</v>
      </c>
      <c r="D865" s="9">
        <f>SK[[#This Row],[KALİTE]]</f>
        <v>0</v>
      </c>
      <c r="E865" s="11">
        <f>SK[[#This Row],[FİRE]]</f>
        <v>0</v>
      </c>
      <c r="F865" s="11">
        <f>SK[[#This Row],[EŞİT FİRE]]</f>
        <v>0</v>
      </c>
      <c r="G865" s="9">
        <f>IF(MOD(SK[[#This Row],[GEREKLİ ADET]],2)=0,SK[[#This Row],[GEREKLİ ADET]],0)</f>
        <v>0</v>
      </c>
      <c r="H865" s="9">
        <f>SK[[#This Row],[SONDAN KALAN FİRE]]</f>
        <v>0</v>
      </c>
    </row>
    <row r="866" spans="1:8" x14ac:dyDescent="0.3">
      <c r="A866" s="12">
        <f>SK[[#This Row],[TARİH]]</f>
        <v>0</v>
      </c>
      <c r="B866" s="9">
        <f>SK[[#This Row],[TÜR]]</f>
        <v>0</v>
      </c>
      <c r="C866" s="9">
        <f>SK[[#This Row],[MALZEME ]]</f>
        <v>0</v>
      </c>
      <c r="D866" s="9">
        <f>SK[[#This Row],[KALİTE]]</f>
        <v>0</v>
      </c>
      <c r="E866" s="11">
        <f>SK[[#This Row],[FİRE]]</f>
        <v>0</v>
      </c>
      <c r="F866" s="11">
        <f>SK[[#This Row],[EŞİT FİRE]]</f>
        <v>0</v>
      </c>
      <c r="G866" s="9">
        <f>IF(MOD(SK[[#This Row],[GEREKLİ ADET]],2)=0,SK[[#This Row],[GEREKLİ ADET]],0)</f>
        <v>0</v>
      </c>
      <c r="H866" s="9">
        <f>SK[[#This Row],[SONDAN KALAN FİRE]]</f>
        <v>0</v>
      </c>
    </row>
    <row r="867" spans="1:8" x14ac:dyDescent="0.3">
      <c r="A867" s="12">
        <f>SK[[#This Row],[TARİH]]</f>
        <v>0</v>
      </c>
      <c r="B867" s="9">
        <f>SK[[#This Row],[TÜR]]</f>
        <v>0</v>
      </c>
      <c r="C867" s="9">
        <f>SK[[#This Row],[MALZEME ]]</f>
        <v>0</v>
      </c>
      <c r="D867" s="9">
        <f>SK[[#This Row],[KALİTE]]</f>
        <v>0</v>
      </c>
      <c r="E867" s="11">
        <f>SK[[#This Row],[FİRE]]</f>
        <v>0</v>
      </c>
      <c r="F867" s="11">
        <f>SK[[#This Row],[EŞİT FİRE]]</f>
        <v>0</v>
      </c>
      <c r="G867" s="9">
        <f>IF(MOD(SK[[#This Row],[GEREKLİ ADET]],2)=0,SK[[#This Row],[GEREKLİ ADET]],0)</f>
        <v>0</v>
      </c>
      <c r="H867" s="9">
        <f>SK[[#This Row],[SONDAN KALAN FİRE]]</f>
        <v>0</v>
      </c>
    </row>
    <row r="868" spans="1:8" x14ac:dyDescent="0.3">
      <c r="A868" s="12">
        <f>SK[[#This Row],[TARİH]]</f>
        <v>0</v>
      </c>
      <c r="B868" s="9">
        <f>SK[[#This Row],[TÜR]]</f>
        <v>0</v>
      </c>
      <c r="C868" s="9">
        <f>SK[[#This Row],[MALZEME ]]</f>
        <v>0</v>
      </c>
      <c r="D868" s="9">
        <f>SK[[#This Row],[KALİTE]]</f>
        <v>0</v>
      </c>
      <c r="E868" s="11">
        <f>SK[[#This Row],[FİRE]]</f>
        <v>0</v>
      </c>
      <c r="F868" s="11">
        <f>SK[[#This Row],[EŞİT FİRE]]</f>
        <v>0</v>
      </c>
      <c r="G868" s="9">
        <f>IF(MOD(SK[[#This Row],[GEREKLİ ADET]],2)=0,SK[[#This Row],[GEREKLİ ADET]],0)</f>
        <v>0</v>
      </c>
      <c r="H868" s="9">
        <f>SK[[#This Row],[SONDAN KALAN FİRE]]</f>
        <v>0</v>
      </c>
    </row>
    <row r="869" spans="1:8" x14ac:dyDescent="0.3">
      <c r="A869" s="12">
        <f>SK[[#This Row],[TARİH]]</f>
        <v>0</v>
      </c>
      <c r="B869" s="9">
        <f>SK[[#This Row],[TÜR]]</f>
        <v>0</v>
      </c>
      <c r="C869" s="9">
        <f>SK[[#This Row],[MALZEME ]]</f>
        <v>0</v>
      </c>
      <c r="D869" s="9">
        <f>SK[[#This Row],[KALİTE]]</f>
        <v>0</v>
      </c>
      <c r="E869" s="11">
        <f>SK[[#This Row],[FİRE]]</f>
        <v>0</v>
      </c>
      <c r="F869" s="11">
        <f>SK[[#This Row],[EŞİT FİRE]]</f>
        <v>0</v>
      </c>
      <c r="G869" s="9">
        <f>IF(MOD(SK[[#This Row],[GEREKLİ ADET]],2)=0,SK[[#This Row],[GEREKLİ ADET]],0)</f>
        <v>0</v>
      </c>
      <c r="H869" s="9">
        <f>SK[[#This Row],[SONDAN KALAN FİRE]]</f>
        <v>0</v>
      </c>
    </row>
    <row r="870" spans="1:8" x14ac:dyDescent="0.3">
      <c r="A870" s="12">
        <f>SK[[#This Row],[TARİH]]</f>
        <v>0</v>
      </c>
      <c r="B870" s="9">
        <f>SK[[#This Row],[TÜR]]</f>
        <v>0</v>
      </c>
      <c r="C870" s="9">
        <f>SK[[#This Row],[MALZEME ]]</f>
        <v>0</v>
      </c>
      <c r="D870" s="9">
        <f>SK[[#This Row],[KALİTE]]</f>
        <v>0</v>
      </c>
      <c r="E870" s="11">
        <f>SK[[#This Row],[FİRE]]</f>
        <v>0</v>
      </c>
      <c r="F870" s="11">
        <f>SK[[#This Row],[EŞİT FİRE]]</f>
        <v>0</v>
      </c>
      <c r="G870" s="9">
        <f>IF(MOD(SK[[#This Row],[GEREKLİ ADET]],2)=0,SK[[#This Row],[GEREKLİ ADET]],0)</f>
        <v>0</v>
      </c>
      <c r="H870" s="9">
        <f>SK[[#This Row],[SONDAN KALAN FİRE]]</f>
        <v>0</v>
      </c>
    </row>
    <row r="871" spans="1:8" x14ac:dyDescent="0.3">
      <c r="A871" s="12">
        <f>SK[[#This Row],[TARİH]]</f>
        <v>0</v>
      </c>
      <c r="B871" s="9">
        <f>SK[[#This Row],[TÜR]]</f>
        <v>0</v>
      </c>
      <c r="C871" s="9">
        <f>SK[[#This Row],[MALZEME ]]</f>
        <v>0</v>
      </c>
      <c r="D871" s="9">
        <f>SK[[#This Row],[KALİTE]]</f>
        <v>0</v>
      </c>
      <c r="E871" s="11">
        <f>SK[[#This Row],[FİRE]]</f>
        <v>0</v>
      </c>
      <c r="F871" s="11">
        <f>SK[[#This Row],[EŞİT FİRE]]</f>
        <v>0</v>
      </c>
      <c r="G871" s="9">
        <f>IF(MOD(SK[[#This Row],[GEREKLİ ADET]],2)=0,SK[[#This Row],[GEREKLİ ADET]],0)</f>
        <v>0</v>
      </c>
      <c r="H871" s="9">
        <f>SK[[#This Row],[SONDAN KALAN FİRE]]</f>
        <v>0</v>
      </c>
    </row>
    <row r="872" spans="1:8" x14ac:dyDescent="0.3">
      <c r="A872" s="12">
        <f>SK[[#This Row],[TARİH]]</f>
        <v>0</v>
      </c>
      <c r="B872" s="9">
        <f>SK[[#This Row],[TÜR]]</f>
        <v>0</v>
      </c>
      <c r="C872" s="9">
        <f>SK[[#This Row],[MALZEME ]]</f>
        <v>0</v>
      </c>
      <c r="D872" s="9">
        <f>SK[[#This Row],[KALİTE]]</f>
        <v>0</v>
      </c>
      <c r="E872" s="11">
        <f>SK[[#This Row],[FİRE]]</f>
        <v>0</v>
      </c>
      <c r="F872" s="11">
        <f>SK[[#This Row],[EŞİT FİRE]]</f>
        <v>0</v>
      </c>
      <c r="G872" s="9">
        <f>IF(MOD(SK[[#This Row],[GEREKLİ ADET]],2)=0,SK[[#This Row],[GEREKLİ ADET]],0)</f>
        <v>0</v>
      </c>
      <c r="H872" s="9">
        <f>SK[[#This Row],[SONDAN KALAN FİRE]]</f>
        <v>0</v>
      </c>
    </row>
    <row r="873" spans="1:8" x14ac:dyDescent="0.3">
      <c r="A873" s="12">
        <f>SK[[#This Row],[TARİH]]</f>
        <v>0</v>
      </c>
      <c r="B873" s="9">
        <f>SK[[#This Row],[TÜR]]</f>
        <v>0</v>
      </c>
      <c r="C873" s="9">
        <f>SK[[#This Row],[MALZEME ]]</f>
        <v>0</v>
      </c>
      <c r="D873" s="9">
        <f>SK[[#This Row],[KALİTE]]</f>
        <v>0</v>
      </c>
      <c r="E873" s="11">
        <f>SK[[#This Row],[FİRE]]</f>
        <v>0</v>
      </c>
      <c r="F873" s="11">
        <f>SK[[#This Row],[EŞİT FİRE]]</f>
        <v>0</v>
      </c>
      <c r="G873" s="9">
        <f>IF(MOD(SK[[#This Row],[GEREKLİ ADET]],2)=0,SK[[#This Row],[GEREKLİ ADET]],0)</f>
        <v>0</v>
      </c>
      <c r="H873" s="9">
        <f>SK[[#This Row],[SONDAN KALAN FİRE]]</f>
        <v>0</v>
      </c>
    </row>
    <row r="874" spans="1:8" x14ac:dyDescent="0.3">
      <c r="A874" s="12">
        <f>SK[[#This Row],[TARİH]]</f>
        <v>0</v>
      </c>
      <c r="B874" s="9">
        <f>SK[[#This Row],[TÜR]]</f>
        <v>0</v>
      </c>
      <c r="C874" s="9">
        <f>SK[[#This Row],[MALZEME ]]</f>
        <v>0</v>
      </c>
      <c r="D874" s="9">
        <f>SK[[#This Row],[KALİTE]]</f>
        <v>0</v>
      </c>
      <c r="E874" s="11">
        <f>SK[[#This Row],[FİRE]]</f>
        <v>0</v>
      </c>
      <c r="F874" s="11">
        <f>SK[[#This Row],[EŞİT FİRE]]</f>
        <v>0</v>
      </c>
      <c r="G874" s="9">
        <f>IF(MOD(SK[[#This Row],[GEREKLİ ADET]],2)=0,SK[[#This Row],[GEREKLİ ADET]],0)</f>
        <v>0</v>
      </c>
      <c r="H874" s="9">
        <f>SK[[#This Row],[SONDAN KALAN FİRE]]</f>
        <v>0</v>
      </c>
    </row>
    <row r="875" spans="1:8" x14ac:dyDescent="0.3">
      <c r="A875" s="12">
        <f>SK[[#This Row],[TARİH]]</f>
        <v>0</v>
      </c>
      <c r="B875" s="9">
        <f>SK[[#This Row],[TÜR]]</f>
        <v>0</v>
      </c>
      <c r="C875" s="9">
        <f>SK[[#This Row],[MALZEME ]]</f>
        <v>0</v>
      </c>
      <c r="D875" s="9">
        <f>SK[[#This Row],[KALİTE]]</f>
        <v>0</v>
      </c>
      <c r="E875" s="11">
        <f>SK[[#This Row],[FİRE]]</f>
        <v>0</v>
      </c>
      <c r="F875" s="11">
        <f>SK[[#This Row],[EŞİT FİRE]]</f>
        <v>0</v>
      </c>
      <c r="G875" s="9">
        <f>IF(MOD(SK[[#This Row],[GEREKLİ ADET]],2)=0,SK[[#This Row],[GEREKLİ ADET]],0)</f>
        <v>0</v>
      </c>
      <c r="H875" s="9">
        <f>SK[[#This Row],[SONDAN KALAN FİRE]]</f>
        <v>0</v>
      </c>
    </row>
    <row r="876" spans="1:8" x14ac:dyDescent="0.3">
      <c r="A876" s="12">
        <f>SK[[#This Row],[TARİH]]</f>
        <v>0</v>
      </c>
      <c r="B876" s="9">
        <f>SK[[#This Row],[TÜR]]</f>
        <v>0</v>
      </c>
      <c r="C876" s="9">
        <f>SK[[#This Row],[MALZEME ]]</f>
        <v>0</v>
      </c>
      <c r="D876" s="9">
        <f>SK[[#This Row],[KALİTE]]</f>
        <v>0</v>
      </c>
      <c r="E876" s="11">
        <f>SK[[#This Row],[FİRE]]</f>
        <v>0</v>
      </c>
      <c r="F876" s="11">
        <f>SK[[#This Row],[EŞİT FİRE]]</f>
        <v>0</v>
      </c>
      <c r="G876" s="9">
        <f>IF(MOD(SK[[#This Row],[GEREKLİ ADET]],2)=0,SK[[#This Row],[GEREKLİ ADET]],0)</f>
        <v>0</v>
      </c>
      <c r="H876" s="9">
        <f>SK[[#This Row],[SONDAN KALAN FİRE]]</f>
        <v>0</v>
      </c>
    </row>
    <row r="877" spans="1:8" x14ac:dyDescent="0.3">
      <c r="A877" s="12">
        <f>SK[[#This Row],[TARİH]]</f>
        <v>0</v>
      </c>
      <c r="B877" s="9">
        <f>SK[[#This Row],[TÜR]]</f>
        <v>0</v>
      </c>
      <c r="C877" s="9">
        <f>SK[[#This Row],[MALZEME ]]</f>
        <v>0</v>
      </c>
      <c r="D877" s="9">
        <f>SK[[#This Row],[KALİTE]]</f>
        <v>0</v>
      </c>
      <c r="E877" s="11">
        <f>SK[[#This Row],[FİRE]]</f>
        <v>0</v>
      </c>
      <c r="F877" s="11">
        <f>SK[[#This Row],[EŞİT FİRE]]</f>
        <v>0</v>
      </c>
      <c r="G877" s="9">
        <f>IF(MOD(SK[[#This Row],[GEREKLİ ADET]],2)=0,SK[[#This Row],[GEREKLİ ADET]],0)</f>
        <v>0</v>
      </c>
      <c r="H877" s="9">
        <f>SK[[#This Row],[SONDAN KALAN FİRE]]</f>
        <v>0</v>
      </c>
    </row>
    <row r="878" spans="1:8" x14ac:dyDescent="0.3">
      <c r="A878" s="12">
        <f>SK[[#This Row],[TARİH]]</f>
        <v>0</v>
      </c>
      <c r="B878" s="9">
        <f>SK[[#This Row],[TÜR]]</f>
        <v>0</v>
      </c>
      <c r="C878" s="9">
        <f>SK[[#This Row],[MALZEME ]]</f>
        <v>0</v>
      </c>
      <c r="D878" s="9">
        <f>SK[[#This Row],[KALİTE]]</f>
        <v>0</v>
      </c>
      <c r="E878" s="11">
        <f>SK[[#This Row],[FİRE]]</f>
        <v>0</v>
      </c>
      <c r="F878" s="11">
        <f>SK[[#This Row],[EŞİT FİRE]]</f>
        <v>0</v>
      </c>
      <c r="G878" s="9">
        <f>IF(MOD(SK[[#This Row],[GEREKLİ ADET]],2)=0,SK[[#This Row],[GEREKLİ ADET]],0)</f>
        <v>0</v>
      </c>
      <c r="H878" s="9">
        <f>SK[[#This Row],[SONDAN KALAN FİRE]]</f>
        <v>0</v>
      </c>
    </row>
    <row r="879" spans="1:8" x14ac:dyDescent="0.3">
      <c r="A879" s="12">
        <f>SK[[#This Row],[TARİH]]</f>
        <v>0</v>
      </c>
      <c r="B879" s="9">
        <f>SK[[#This Row],[TÜR]]</f>
        <v>0</v>
      </c>
      <c r="C879" s="9">
        <f>SK[[#This Row],[MALZEME ]]</f>
        <v>0</v>
      </c>
      <c r="D879" s="9">
        <f>SK[[#This Row],[KALİTE]]</f>
        <v>0</v>
      </c>
      <c r="E879" s="11">
        <f>SK[[#This Row],[FİRE]]</f>
        <v>0</v>
      </c>
      <c r="F879" s="11">
        <f>SK[[#This Row],[EŞİT FİRE]]</f>
        <v>0</v>
      </c>
      <c r="G879" s="9">
        <f>IF(MOD(SK[[#This Row],[GEREKLİ ADET]],2)=0,SK[[#This Row],[GEREKLİ ADET]],0)</f>
        <v>0</v>
      </c>
      <c r="H879" s="9">
        <f>SK[[#This Row],[SONDAN KALAN FİRE]]</f>
        <v>0</v>
      </c>
    </row>
    <row r="880" spans="1:8" x14ac:dyDescent="0.3">
      <c r="A880" s="12">
        <f>SK[[#This Row],[TARİH]]</f>
        <v>0</v>
      </c>
      <c r="B880" s="9">
        <f>SK[[#This Row],[TÜR]]</f>
        <v>0</v>
      </c>
      <c r="C880" s="9">
        <f>SK[[#This Row],[MALZEME ]]</f>
        <v>0</v>
      </c>
      <c r="D880" s="9">
        <f>SK[[#This Row],[KALİTE]]</f>
        <v>0</v>
      </c>
      <c r="E880" s="11">
        <f>SK[[#This Row],[FİRE]]</f>
        <v>0</v>
      </c>
      <c r="F880" s="11">
        <f>SK[[#This Row],[EŞİT FİRE]]</f>
        <v>0</v>
      </c>
      <c r="G880" s="9">
        <f>IF(MOD(SK[[#This Row],[GEREKLİ ADET]],2)=0,SK[[#This Row],[GEREKLİ ADET]],0)</f>
        <v>0</v>
      </c>
      <c r="H880" s="9">
        <f>SK[[#This Row],[SONDAN KALAN FİRE]]</f>
        <v>0</v>
      </c>
    </row>
    <row r="881" spans="1:8" x14ac:dyDescent="0.3">
      <c r="A881" s="12">
        <f>SK[[#This Row],[TARİH]]</f>
        <v>0</v>
      </c>
      <c r="B881" s="9">
        <f>SK[[#This Row],[TÜR]]</f>
        <v>0</v>
      </c>
      <c r="C881" s="9">
        <f>SK[[#This Row],[MALZEME ]]</f>
        <v>0</v>
      </c>
      <c r="D881" s="9">
        <f>SK[[#This Row],[KALİTE]]</f>
        <v>0</v>
      </c>
      <c r="E881" s="11">
        <f>SK[[#This Row],[FİRE]]</f>
        <v>0</v>
      </c>
      <c r="F881" s="11">
        <f>SK[[#This Row],[EŞİT FİRE]]</f>
        <v>0</v>
      </c>
      <c r="G881" s="9">
        <f>IF(MOD(SK[[#This Row],[GEREKLİ ADET]],2)=0,SK[[#This Row],[GEREKLİ ADET]],0)</f>
        <v>0</v>
      </c>
      <c r="H881" s="9">
        <f>SK[[#This Row],[SONDAN KALAN FİRE]]</f>
        <v>0</v>
      </c>
    </row>
    <row r="882" spans="1:8" x14ac:dyDescent="0.3">
      <c r="A882" s="12">
        <f>SK[[#This Row],[TARİH]]</f>
        <v>0</v>
      </c>
      <c r="B882" s="9">
        <f>SK[[#This Row],[TÜR]]</f>
        <v>0</v>
      </c>
      <c r="C882" s="9">
        <f>SK[[#This Row],[MALZEME ]]</f>
        <v>0</v>
      </c>
      <c r="D882" s="9">
        <f>SK[[#This Row],[KALİTE]]</f>
        <v>0</v>
      </c>
      <c r="E882" s="11">
        <f>SK[[#This Row],[FİRE]]</f>
        <v>0</v>
      </c>
      <c r="F882" s="11">
        <f>SK[[#This Row],[EŞİT FİRE]]</f>
        <v>0</v>
      </c>
      <c r="G882" s="9">
        <f>IF(MOD(SK[[#This Row],[GEREKLİ ADET]],2)=0,SK[[#This Row],[GEREKLİ ADET]],0)</f>
        <v>0</v>
      </c>
      <c r="H882" s="9">
        <f>SK[[#This Row],[SONDAN KALAN FİRE]]</f>
        <v>0</v>
      </c>
    </row>
  </sheetData>
  <autoFilter ref="A1:H1" xr:uid="{128E0921-F03A-4E76-9C34-3E075D6C8726}">
    <sortState xmlns:xlrd2="http://schemas.microsoft.com/office/spreadsheetml/2017/richdata2" ref="A2:H882">
      <sortCondition sortBy="cellColor" ref="E1" dxfId="52"/>
    </sortState>
  </autoFilter>
  <conditionalFormatting sqref="E2:E882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/>
  <dimension ref="A1:XFB100"/>
  <sheetViews>
    <sheetView workbookViewId="0">
      <selection activeCell="D5" sqref="D5"/>
    </sheetView>
  </sheetViews>
  <sheetFormatPr defaultRowHeight="14.4" x14ac:dyDescent="0.3"/>
  <cols>
    <col min="1" max="1" width="16.6640625" customWidth="1"/>
    <col min="3" max="3" width="8.88671875" style="10"/>
    <col min="4" max="4" width="13.77734375" customWidth="1"/>
    <col min="5" max="5" width="8.88671875" style="10"/>
    <col min="16381" max="16381" width="8.88671875" style="3"/>
  </cols>
  <sheetData>
    <row r="1" spans="1:7 16381:16382" ht="28.8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  <c r="XFA1" s="3" t="e" cm="1">
        <f t="array" aca="1" ref="XFA1:XFA43" ca="1">_xlfn.UNIQUE(_xlfn._xlws.FILTER(KUTU[MALZEME],KUTU[MALZEME]&lt;&gt;""))</f>
        <v>#NAME?</v>
      </c>
      <c r="XFB1" t="e" cm="1">
        <f t="array" aca="1" ref="XFB1:XFB5" ca="1">_xlfn.UNIQUE(_xlfn._xlws.FILTER(KUTU[[KALİTE ]],KUTU[[KALİTE ]]&lt;&gt;""))</f>
        <v>#NAME?</v>
      </c>
    </row>
    <row r="2" spans="1:7 16381:16382" x14ac:dyDescent="0.3">
      <c r="A2" s="31" t="s">
        <v>4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  <c r="F2" s="1"/>
      <c r="G2" s="1"/>
      <c r="XFA2" s="3" t="e">
        <f ca="1"/>
        <v>#NAME?</v>
      </c>
      <c r="XFB2" t="e">
        <f ca="1"/>
        <v>#NAME?</v>
      </c>
    </row>
    <row r="3" spans="1:7 16381:16382" x14ac:dyDescent="0.3">
      <c r="A3" s="32" t="s">
        <v>5</v>
      </c>
      <c r="B3" s="2" t="s">
        <v>52</v>
      </c>
      <c r="C3">
        <v>47</v>
      </c>
      <c r="D3">
        <v>12000</v>
      </c>
      <c r="E3" cm="1">
        <f t="array" ref="E3">IFERROR(
  $C3*1 -
  SUMPRODUCT(
    --IFERROR('STOK KULLANIM'!$D$2:$D$100002=$A3,0),
    --IFERROR('STOK KULLANIM'!$I$2:$I$100002=$D3,0),
    --( IFERROR('STOK KULLANIM'!$E$2:$E$100002=$B3,0) + IFERROR('STOK KULLANIM'!$E$2:$E$100002="",0) + ($B3="") &gt; 0 ),
    IFERROR('STOK KULLANIM'!$H$2:$H$100002,0)*1
  ),
  $C3*1
)</f>
        <v>45</v>
      </c>
      <c r="F3" s="2"/>
      <c r="G3" s="2"/>
      <c r="XFA3" s="3" t="e">
        <f ca="1"/>
        <v>#NAME?</v>
      </c>
      <c r="XFB3" t="e">
        <f ca="1"/>
        <v>#NAME?</v>
      </c>
    </row>
    <row r="4" spans="1:7 16381:16382" x14ac:dyDescent="0.3">
      <c r="A4" s="31" t="s">
        <v>5</v>
      </c>
      <c r="B4" s="2" t="s">
        <v>56</v>
      </c>
      <c r="C4">
        <v>56</v>
      </c>
      <c r="D4">
        <v>12000</v>
      </c>
      <c r="E4" cm="1">
        <f t="array" ref="E4">IFERROR(
  $C4*1 -
  SUMPRODUCT(
    --IFERROR('STOK KULLANIM'!$D$2:$D$100002=$A4,0),
    --IFERROR('STOK KULLANIM'!$I$2:$I$100002=$D4,0),
    --( IFERROR('STOK KULLANIM'!$E$2:$E$100002=$B4,0) + IFERROR('STOK KULLANIM'!$E$2:$E$100002="",0) + ($B4="") &gt; 0 ),
    IFERROR('STOK KULLANIM'!$H$2:$H$100002,0)*1
  ),
  $C4*1
)</f>
        <v>56</v>
      </c>
      <c r="F4" s="2"/>
      <c r="G4" s="2"/>
      <c r="XFA4" s="3" t="e">
        <f ca="1"/>
        <v>#NAME?</v>
      </c>
      <c r="XFB4" t="e">
        <f ca="1"/>
        <v>#NAME?</v>
      </c>
    </row>
    <row r="5" spans="1:7 16381:16382" x14ac:dyDescent="0.3">
      <c r="A5" s="32" t="s">
        <v>5</v>
      </c>
      <c r="B5" s="2"/>
      <c r="C5"/>
      <c r="E5" cm="1">
        <f t="array" ref="E5">IFERROR(
  $C5*1 -
  SUMPRODUCT(
    --IFERROR('STOK KULLANIM'!$D$2:$D$100002=$A5,0),
    --IFERROR('STOK KULLANIM'!$I$2:$I$100002=$D5,0),
    --( IFERROR('STOK KULLANIM'!$E$2:$E$100002=$B5,0) + IFERROR('STOK KULLANIM'!$E$2:$E$100002="",0) + ($B5="") &gt; 0 ),
    IFERROR('STOK KULLANIM'!$H$2:$H$100002,0)*1
  ),
  $C5*1
)</f>
        <v>0</v>
      </c>
      <c r="F5" s="2"/>
      <c r="G5" s="2"/>
      <c r="XFA5" s="3" t="e">
        <f ca="1"/>
        <v>#NAME?</v>
      </c>
      <c r="XFB5" t="e">
        <f ca="1"/>
        <v>#NAME?</v>
      </c>
    </row>
    <row r="6" spans="1:7 16381:16382" x14ac:dyDescent="0.3">
      <c r="A6" s="31" t="s">
        <v>6</v>
      </c>
      <c r="B6" s="2"/>
      <c r="C6"/>
      <c r="E6" cm="1">
        <f t="array" ref="E6">IFERROR(
  $C6*1 -
  SUMPRODUCT(
    --IFERROR('STOK KULLANIM'!$D$2:$D$100002=$A6,0),
    --IFERROR('STOK KULLANIM'!$I$2:$I$100002=$D6,0),
    --( IFERROR('STOK KULLANIM'!$E$2:$E$100002=$B6,0) + IFERROR('STOK KULLANIM'!$E$2:$E$100002="",0) + ($B6="") &gt; 0 ),
    IFERROR('STOK KULLANIM'!$H$2:$H$100002,0)*1
  ),
  $C6*1
)</f>
        <v>0</v>
      </c>
      <c r="F6" s="2"/>
      <c r="G6" s="2"/>
      <c r="XFA6" s="3" t="e">
        <f ca="1"/>
        <v>#NAME?</v>
      </c>
    </row>
    <row r="7" spans="1:7 16381:16382" x14ac:dyDescent="0.3">
      <c r="A7" s="32" t="s">
        <v>7</v>
      </c>
      <c r="B7" s="2"/>
      <c r="C7"/>
      <c r="E7" cm="1">
        <f t="array" ref="E7">IFERROR(
  $C7*1 -
  SUMPRODUCT(
    --IFERROR('STOK KULLANIM'!$D$2:$D$100002=$A7,0),
    --IFERROR('STOK KULLANIM'!$I$2:$I$100002=$D7,0),
    --( IFERROR('STOK KULLANIM'!$E$2:$E$100002=$B7,0) + IFERROR('STOK KULLANIM'!$E$2:$E$100002="",0) + ($B7="") &gt; 0 ),
    IFERROR('STOK KULLANIM'!$H$2:$H$100002,0)*1
  ),
  $C7*1
)</f>
        <v>0</v>
      </c>
      <c r="F7" s="2"/>
      <c r="G7" s="2"/>
      <c r="XFA7" s="3" t="e">
        <f ca="1"/>
        <v>#NAME?</v>
      </c>
    </row>
    <row r="8" spans="1:7 16381:16382" x14ac:dyDescent="0.3">
      <c r="A8" s="31" t="s">
        <v>8</v>
      </c>
      <c r="B8" s="2"/>
      <c r="C8"/>
      <c r="E8" cm="1">
        <f t="array" ref="E8">IFERROR(
  $C8*1 -
  SUMPRODUCT(
    --IFERROR('STOK KULLANIM'!$D$2:$D$100002=$A8,0),
    --IFERROR('STOK KULLANIM'!$I$2:$I$100002=$D8,0),
    --( IFERROR('STOK KULLANIM'!$E$2:$E$100002=$B8,0) + IFERROR('STOK KULLANIM'!$E$2:$E$100002="",0) + ($B8="") &gt; 0 ),
    IFERROR('STOK KULLANIM'!$H$2:$H$100002,0)*1
  ),
  $C8*1
)</f>
        <v>0</v>
      </c>
      <c r="F8" s="2"/>
      <c r="G8" s="2"/>
      <c r="XFA8" s="3" t="e">
        <f ca="1"/>
        <v>#NAME?</v>
      </c>
    </row>
    <row r="9" spans="1:7 16381:16382" x14ac:dyDescent="0.3">
      <c r="A9" s="32" t="s">
        <v>9</v>
      </c>
      <c r="B9" s="2"/>
      <c r="C9"/>
      <c r="E9" cm="1">
        <f t="array" ref="E9">IFERROR(
  $C9*1 -
  SUMPRODUCT(
    --IFERROR('STOK KULLANIM'!$D$2:$D$100002=$A9,0),
    --IFERROR('STOK KULLANIM'!$I$2:$I$100002=$D9,0),
    --( IFERROR('STOK KULLANIM'!$E$2:$E$100002=$B9,0) + IFERROR('STOK KULLANIM'!$E$2:$E$100002="",0) + ($B9="") &gt; 0 ),
    IFERROR('STOK KULLANIM'!$H$2:$H$100002,0)*1
  ),
  $C9*1
)</f>
        <v>0</v>
      </c>
      <c r="F9" s="2"/>
      <c r="G9" s="2"/>
      <c r="XFA9" s="3" t="e">
        <f ca="1"/>
        <v>#NAME?</v>
      </c>
    </row>
    <row r="10" spans="1:7 16381:16382" x14ac:dyDescent="0.3">
      <c r="A10" s="31" t="s">
        <v>10</v>
      </c>
      <c r="B10" s="2"/>
      <c r="C10"/>
      <c r="E10" cm="1">
        <f t="array" ref="E10">IFERROR(
  $C10*1 -
  SUMPRODUCT(
    --IFERROR('STOK KULLANIM'!$D$2:$D$100002=$A10,0),
    --IFERROR('STOK KULLANIM'!$I$2:$I$100002=$D10,0),
    --( IFERROR('STOK KULLANIM'!$E$2:$E$100002=$B10,0) + IFERROR('STOK KULLANIM'!$E$2:$E$100002="",0) + ($B10="") &gt; 0 ),
    IFERROR('STOK KULLANIM'!$H$2:$H$100002,0)*1
  ),
  $C10*1
)</f>
        <v>0</v>
      </c>
      <c r="F10" s="2"/>
      <c r="G10" s="2"/>
      <c r="XFA10" s="3" t="e">
        <f ca="1"/>
        <v>#NAME?</v>
      </c>
    </row>
    <row r="11" spans="1:7 16381:16382" x14ac:dyDescent="0.3">
      <c r="A11" s="32" t="s">
        <v>11</v>
      </c>
      <c r="B11" s="2"/>
      <c r="C11"/>
      <c r="E11" cm="1">
        <f t="array" ref="E11">IFERROR(
  $C11*1 -
  SUMPRODUCT(
    --IFERROR('STOK KULLANIM'!$D$2:$D$100002=$A11,0),
    --IFERROR('STOK KULLANIM'!$I$2:$I$100002=$D11,0),
    --( IFERROR('STOK KULLANIM'!$E$2:$E$100002=$B11,0) + IFERROR('STOK KULLANIM'!$E$2:$E$100002="",0) + ($B11="") &gt; 0 ),
    IFERROR('STOK KULLANIM'!$H$2:$H$100002,0)*1
  ),
  $C11*1
)</f>
        <v>0</v>
      </c>
      <c r="F11" s="2"/>
      <c r="G11" s="2"/>
      <c r="XFA11" s="3" t="e">
        <f ca="1"/>
        <v>#NAME?</v>
      </c>
    </row>
    <row r="12" spans="1:7 16381:16382" x14ac:dyDescent="0.3">
      <c r="A12" s="31" t="s">
        <v>12</v>
      </c>
      <c r="B12" s="2"/>
      <c r="C12"/>
      <c r="E12" cm="1">
        <f t="array" ref="E12">IFERROR(
  $C12*1 -
  SUMPRODUCT(
    --IFERROR('STOK KULLANIM'!$D$2:$D$100002=$A12,0),
    --IFERROR('STOK KULLANIM'!$I$2:$I$100002=$D12,0),
    --( IFERROR('STOK KULLANIM'!$E$2:$E$100002=$B12,0) + IFERROR('STOK KULLANIM'!$E$2:$E$100002="",0) + ($B12="") &gt; 0 ),
    IFERROR('STOK KULLANIM'!$H$2:$H$100002,0)*1
  ),
  $C12*1
)</f>
        <v>0</v>
      </c>
      <c r="F12" s="2"/>
      <c r="G12" s="2"/>
      <c r="XFA12" s="3" t="e">
        <f ca="1"/>
        <v>#NAME?</v>
      </c>
    </row>
    <row r="13" spans="1:7 16381:16382" x14ac:dyDescent="0.3">
      <c r="A13" s="32" t="s">
        <v>12</v>
      </c>
      <c r="B13" s="2"/>
      <c r="C13"/>
      <c r="E13" cm="1">
        <f t="array" ref="E13">IFERROR(
  $C13*1 -
  SUMPRODUCT(
    --IFERROR('STOK KULLANIM'!$D$2:$D$100002=$A13,0),
    --IFERROR('STOK KULLANIM'!$I$2:$I$100002=$D13,0),
    --( IFERROR('STOK KULLANIM'!$E$2:$E$100002=$B13,0) + IFERROR('STOK KULLANIM'!$E$2:$E$100002="",0) + ($B13="") &gt; 0 ),
    IFERROR('STOK KULLANIM'!$H$2:$H$100002,0)*1
  ),
  $C13*1
)</f>
        <v>0</v>
      </c>
      <c r="F13" s="2"/>
      <c r="G13" s="2"/>
      <c r="XFA13" s="3" t="e">
        <f ca="1"/>
        <v>#NAME?</v>
      </c>
    </row>
    <row r="14" spans="1:7 16381:16382" x14ac:dyDescent="0.3">
      <c r="A14" s="31" t="s">
        <v>13</v>
      </c>
      <c r="B14" s="2"/>
      <c r="C14"/>
      <c r="E14" cm="1">
        <f t="array" ref="E14">IFERROR(
  $C14*1 -
  SUMPRODUCT(
    --IFERROR('STOK KULLANIM'!$D$2:$D$100002=$A14,0),
    --IFERROR('STOK KULLANIM'!$I$2:$I$100002=$D14,0),
    --( IFERROR('STOK KULLANIM'!$E$2:$E$100002=$B14,0) + IFERROR('STOK KULLANIM'!$E$2:$E$100002="",0) + ($B14="") &gt; 0 ),
    IFERROR('STOK KULLANIM'!$H$2:$H$100002,0)*1
  ),
  $C14*1
)</f>
        <v>0</v>
      </c>
      <c r="F14" s="2"/>
      <c r="G14" s="2"/>
      <c r="XFA14" s="3" t="e">
        <f ca="1"/>
        <v>#NAME?</v>
      </c>
    </row>
    <row r="15" spans="1:7 16381:16382" x14ac:dyDescent="0.3">
      <c r="A15" s="32" t="s">
        <v>13</v>
      </c>
      <c r="B15" s="2"/>
      <c r="C15"/>
      <c r="E15" cm="1">
        <f t="array" ref="E15">IFERROR(
  $C15*1 -
  SUMPRODUCT(
    --IFERROR('STOK KULLANIM'!$D$2:$D$100002=$A15,0),
    --IFERROR('STOK KULLANIM'!$I$2:$I$100002=$D15,0),
    --( IFERROR('STOK KULLANIM'!$E$2:$E$100002=$B15,0) + IFERROR('STOK KULLANIM'!$E$2:$E$100002="",0) + ($B15="") &gt; 0 ),
    IFERROR('STOK KULLANIM'!$H$2:$H$100002,0)*1
  ),
  $C15*1
)</f>
        <v>0</v>
      </c>
      <c r="F15" s="2"/>
      <c r="G15" s="2"/>
      <c r="XFA15" s="3" t="e">
        <f ca="1"/>
        <v>#NAME?</v>
      </c>
    </row>
    <row r="16" spans="1:7 16381:16382" x14ac:dyDescent="0.3">
      <c r="A16" s="31" t="s">
        <v>14</v>
      </c>
      <c r="B16" s="2"/>
      <c r="C16"/>
      <c r="E16" cm="1">
        <f t="array" ref="E16">IFERROR(
  $C16*1 -
  SUMPRODUCT(
    --IFERROR('STOK KULLANIM'!$D$2:$D$100002=$A16,0),
    --IFERROR('STOK KULLANIM'!$I$2:$I$100002=$D16,0),
    --( IFERROR('STOK KULLANIM'!$E$2:$E$100002=$B16,0) + IFERROR('STOK KULLANIM'!$E$2:$E$100002="",0) + ($B16="") &gt; 0 ),
    IFERROR('STOK KULLANIM'!$H$2:$H$100002,0)*1
  ),
  $C16*1
)</f>
        <v>0</v>
      </c>
      <c r="F16" s="2"/>
      <c r="G16" s="2"/>
      <c r="XFA16" s="3" t="e">
        <f ca="1"/>
        <v>#NAME?</v>
      </c>
    </row>
    <row r="17" spans="1:7 16381:16381" x14ac:dyDescent="0.3">
      <c r="A17" s="32" t="s">
        <v>15</v>
      </c>
      <c r="B17" s="2" t="s">
        <v>52</v>
      </c>
      <c r="C17">
        <v>108</v>
      </c>
      <c r="D17">
        <v>12000</v>
      </c>
      <c r="E17" cm="1">
        <f t="array" ref="E17">IFERROR(
  $C17*1 -
  SUMPRODUCT(
    --IFERROR('STOK KULLANIM'!$D$2:$D$100002=$A17,0),
    --IFERROR('STOK KULLANIM'!$I$2:$I$100002=$D17,0),
    --( IFERROR('STOK KULLANIM'!$E$2:$E$100002=$B17,0) + IFERROR('STOK KULLANIM'!$E$2:$E$100002="",0) + ($B17="") &gt; 0 ),
    IFERROR('STOK KULLANIM'!$H$2:$H$100002,0)*1
  ),
  $C17*1
)</f>
        <v>108</v>
      </c>
      <c r="F17" s="2"/>
      <c r="G17" s="2"/>
      <c r="XFA17" s="3" t="e">
        <f ca="1"/>
        <v>#NAME?</v>
      </c>
    </row>
    <row r="18" spans="1:7 16381:16381" x14ac:dyDescent="0.3">
      <c r="A18" s="31" t="s">
        <v>16</v>
      </c>
      <c r="B18" s="2"/>
      <c r="C18"/>
      <c r="E18" cm="1">
        <f t="array" ref="E18">IFERROR(
  $C18*1 -
  SUMPRODUCT(
    --IFERROR('STOK KULLANIM'!$D$2:$D$100002=$A18,0),
    --IFERROR('STOK KULLANIM'!$I$2:$I$100002=$D18,0),
    --( IFERROR('STOK KULLANIM'!$E$2:$E$100002=$B18,0) + IFERROR('STOK KULLANIM'!$E$2:$E$100002="",0) + ($B18="") &gt; 0 ),
    IFERROR('STOK KULLANIM'!$H$2:$H$100002,0)*1
  ),
  $C18*1
)</f>
        <v>0</v>
      </c>
      <c r="F18" s="2"/>
      <c r="G18" s="2"/>
      <c r="XFA18" s="3" t="e">
        <f ca="1"/>
        <v>#NAME?</v>
      </c>
    </row>
    <row r="19" spans="1:7 16381:16381" x14ac:dyDescent="0.3">
      <c r="A19" s="32" t="s">
        <v>17</v>
      </c>
      <c r="B19" s="2"/>
      <c r="C19"/>
      <c r="E19" cm="1">
        <f t="array" ref="E19">IFERROR(
  $C19*1 -
  SUMPRODUCT(
    --IFERROR('STOK KULLANIM'!$D$2:$D$100002=$A19,0),
    --IFERROR('STOK KULLANIM'!$I$2:$I$100002=$D19,0),
    --( IFERROR('STOK KULLANIM'!$E$2:$E$100002=$B19,0) + IFERROR('STOK KULLANIM'!$E$2:$E$100002="",0) + ($B19="") &gt; 0 ),
    IFERROR('STOK KULLANIM'!$H$2:$H$100002,0)*1
  ),
  $C19*1
)</f>
        <v>0</v>
      </c>
      <c r="F19" s="2"/>
      <c r="G19" s="2"/>
      <c r="XFA19" s="3" t="e">
        <f ca="1"/>
        <v>#NAME?</v>
      </c>
    </row>
    <row r="20" spans="1:7 16381:16381" x14ac:dyDescent="0.3">
      <c r="A20" s="31" t="s">
        <v>18</v>
      </c>
      <c r="B20" s="2"/>
      <c r="C20"/>
      <c r="E20" cm="1">
        <f t="array" ref="E20">IFERROR(
  $C20*1 -
  SUMPRODUCT(
    --IFERROR('STOK KULLANIM'!$D$2:$D$100002=$A20,0),
    --IFERROR('STOK KULLANIM'!$I$2:$I$100002=$D20,0),
    --( IFERROR('STOK KULLANIM'!$E$2:$E$100002=$B20,0) + IFERROR('STOK KULLANIM'!$E$2:$E$100002="",0) + ($B20="") &gt; 0 ),
    IFERROR('STOK KULLANIM'!$H$2:$H$100002,0)*1
  ),
  $C20*1
)</f>
        <v>0</v>
      </c>
      <c r="F20" s="2"/>
      <c r="G20" s="2"/>
      <c r="XFA20" s="3" t="e">
        <f ca="1"/>
        <v>#NAME?</v>
      </c>
    </row>
    <row r="21" spans="1:7 16381:16381" x14ac:dyDescent="0.3">
      <c r="A21" s="32" t="s">
        <v>18</v>
      </c>
      <c r="B21" s="2"/>
      <c r="C21"/>
      <c r="E21" cm="1">
        <f t="array" ref="E21">IFERROR(
  $C21*1 -
  SUMPRODUCT(
    --IFERROR('STOK KULLANIM'!$D$2:$D$100002=$A21,0),
    --IFERROR('STOK KULLANIM'!$I$2:$I$100002=$D21,0),
    --( IFERROR('STOK KULLANIM'!$E$2:$E$100002=$B21,0) + IFERROR('STOK KULLANIM'!$E$2:$E$100002="",0) + ($B21="") &gt; 0 ),
    IFERROR('STOK KULLANIM'!$H$2:$H$100002,0)*1
  ),
  $C21*1
)</f>
        <v>0</v>
      </c>
      <c r="F21" s="2"/>
      <c r="G21" s="2"/>
      <c r="XFA21" s="3" t="e">
        <f ca="1"/>
        <v>#NAME?</v>
      </c>
    </row>
    <row r="22" spans="1:7 16381:16381" x14ac:dyDescent="0.3">
      <c r="A22" s="31" t="s">
        <v>18</v>
      </c>
      <c r="B22" s="2"/>
      <c r="C22"/>
      <c r="E22" cm="1">
        <f t="array" ref="E22">IFERROR(
  $C22*1 -
  SUMPRODUCT(
    --IFERROR('STOK KULLANIM'!$D$2:$D$100002=$A22,0),
    --IFERROR('STOK KULLANIM'!$I$2:$I$100002=$D22,0),
    --( IFERROR('STOK KULLANIM'!$E$2:$E$100002=$B22,0) + IFERROR('STOK KULLANIM'!$E$2:$E$100002="",0) + ($B22="") &gt; 0 ),
    IFERROR('STOK KULLANIM'!$H$2:$H$100002,0)*1
  ),
  $C22*1
)</f>
        <v>0</v>
      </c>
      <c r="F22" s="2"/>
      <c r="G22" s="2"/>
      <c r="XFA22" s="3" t="e">
        <f ca="1"/>
        <v>#NAME?</v>
      </c>
    </row>
    <row r="23" spans="1:7 16381:16381" x14ac:dyDescent="0.3">
      <c r="A23" s="32" t="s">
        <v>18</v>
      </c>
      <c r="B23" s="2"/>
      <c r="C23"/>
      <c r="E23" cm="1">
        <f t="array" ref="E23">IFERROR(
  $C23*1 -
  SUMPRODUCT(
    --IFERROR('STOK KULLANIM'!$D$2:$D$100002=$A23,0),
    --IFERROR('STOK KULLANIM'!$I$2:$I$100002=$D23,0),
    --( IFERROR('STOK KULLANIM'!$E$2:$E$100002=$B23,0) + IFERROR('STOK KULLANIM'!$E$2:$E$100002="",0) + ($B23="") &gt; 0 ),
    IFERROR('STOK KULLANIM'!$H$2:$H$100002,0)*1
  ),
  $C23*1
)</f>
        <v>0</v>
      </c>
      <c r="F23" s="2"/>
      <c r="G23" s="2"/>
      <c r="XFA23" s="3" t="e">
        <f ca="1"/>
        <v>#NAME?</v>
      </c>
    </row>
    <row r="24" spans="1:7 16381:16381" x14ac:dyDescent="0.3">
      <c r="A24" s="31" t="s">
        <v>18</v>
      </c>
      <c r="B24" s="2"/>
      <c r="C24"/>
      <c r="E24" cm="1">
        <f t="array" ref="E24">IFERROR(
  $C24*1 -
  SUMPRODUCT(
    --IFERROR('STOK KULLANIM'!$D$2:$D$100002=$A24,0),
    --IFERROR('STOK KULLANIM'!$I$2:$I$100002=$D24,0),
    --( IFERROR('STOK KULLANIM'!$E$2:$E$100002=$B24,0) + IFERROR('STOK KULLANIM'!$E$2:$E$100002="",0) + ($B24="") &gt; 0 ),
    IFERROR('STOK KULLANIM'!$H$2:$H$100002,0)*1
  ),
  $C24*1
)</f>
        <v>0</v>
      </c>
      <c r="F24" s="2"/>
      <c r="G24" s="2"/>
      <c r="XFA24" s="3" t="e">
        <f ca="1"/>
        <v>#NAME?</v>
      </c>
    </row>
    <row r="25" spans="1:7 16381:16381" x14ac:dyDescent="0.3">
      <c r="A25" s="32" t="s">
        <v>19</v>
      </c>
      <c r="B25" s="2"/>
      <c r="C25"/>
      <c r="E25" cm="1">
        <f t="array" ref="E25">IFERROR(
  $C25*1 -
  SUMPRODUCT(
    --IFERROR('STOK KULLANIM'!$D$2:$D$100002=$A25,0),
    --IFERROR('STOK KULLANIM'!$I$2:$I$100002=$D25,0),
    --( IFERROR('STOK KULLANIM'!$E$2:$E$100002=$B25,0) + IFERROR('STOK KULLANIM'!$E$2:$E$100002="",0) + ($B25="") &gt; 0 ),
    IFERROR('STOK KULLANIM'!$H$2:$H$100002,0)*1
  ),
  $C25*1
)</f>
        <v>0</v>
      </c>
      <c r="F25" s="2"/>
      <c r="G25" s="2"/>
      <c r="XFA25" s="3" t="e">
        <f ca="1"/>
        <v>#NAME?</v>
      </c>
    </row>
    <row r="26" spans="1:7 16381:16381" x14ac:dyDescent="0.3">
      <c r="A26" s="31" t="s">
        <v>19</v>
      </c>
      <c r="B26" s="2"/>
      <c r="C26"/>
      <c r="E26" cm="1">
        <f t="array" ref="E26">IFERROR(
  $C26*1 -
  SUMPRODUCT(
    --IFERROR('STOK KULLANIM'!$D$2:$D$100002=$A26,0),
    --IFERROR('STOK KULLANIM'!$I$2:$I$100002=$D26,0),
    --( IFERROR('STOK KULLANIM'!$E$2:$E$100002=$B26,0) + IFERROR('STOK KULLANIM'!$E$2:$E$100002="",0) + ($B26="") &gt; 0 ),
    IFERROR('STOK KULLANIM'!$H$2:$H$100002,0)*1
  ),
  $C26*1
)</f>
        <v>0</v>
      </c>
      <c r="F26" s="2"/>
      <c r="G26" s="2"/>
      <c r="XFA26" s="3" t="e">
        <f ca="1"/>
        <v>#NAME?</v>
      </c>
    </row>
    <row r="27" spans="1:7 16381:16381" x14ac:dyDescent="0.3">
      <c r="A27" s="32" t="s">
        <v>20</v>
      </c>
      <c r="B27" s="2"/>
      <c r="C27"/>
      <c r="E27" cm="1">
        <f t="array" ref="E27">IFERROR(
  $C27*1 -
  SUMPRODUCT(
    --IFERROR('STOK KULLANIM'!$D$2:$D$100002=$A27,0),
    --IFERROR('STOK KULLANIM'!$I$2:$I$100002=$D27,0),
    --( IFERROR('STOK KULLANIM'!$E$2:$E$100002=$B27,0) + IFERROR('STOK KULLANIM'!$E$2:$E$100002="",0) + ($B27="") &gt; 0 ),
    IFERROR('STOK KULLANIM'!$H$2:$H$100002,0)*1
  ),
  $C27*1
)</f>
        <v>0</v>
      </c>
      <c r="F27" s="2"/>
      <c r="G27" s="2"/>
      <c r="XFA27" s="3" t="e">
        <f ca="1"/>
        <v>#NAME?</v>
      </c>
    </row>
    <row r="28" spans="1:7 16381:16381" x14ac:dyDescent="0.3">
      <c r="A28" s="31" t="s">
        <v>21</v>
      </c>
      <c r="B28" s="2"/>
      <c r="C28"/>
      <c r="E28" cm="1">
        <f t="array" ref="E28">IFERROR(
  $C28*1 -
  SUMPRODUCT(
    --IFERROR('STOK KULLANIM'!$D$2:$D$100002=$A28,0),
    --IFERROR('STOK KULLANIM'!$I$2:$I$100002=$D28,0),
    --( IFERROR('STOK KULLANIM'!$E$2:$E$100002=$B28,0) + IFERROR('STOK KULLANIM'!$E$2:$E$100002="",0) + ($B28="") &gt; 0 ),
    IFERROR('STOK KULLANIM'!$H$2:$H$100002,0)*1
  ),
  $C28*1
)</f>
        <v>0</v>
      </c>
      <c r="F28" s="2"/>
      <c r="G28" s="2"/>
      <c r="XFA28" s="3" t="e">
        <f ca="1"/>
        <v>#NAME?</v>
      </c>
    </row>
    <row r="29" spans="1:7 16381:16381" x14ac:dyDescent="0.3">
      <c r="A29" s="32" t="s">
        <v>22</v>
      </c>
      <c r="B29" s="2"/>
      <c r="C29"/>
      <c r="E29" cm="1">
        <f t="array" ref="E29">IFERROR(
  $C29*1 -
  SUMPRODUCT(
    --IFERROR('STOK KULLANIM'!$D$2:$D$100002=$A29,0),
    --IFERROR('STOK KULLANIM'!$I$2:$I$100002=$D29,0),
    --( IFERROR('STOK KULLANIM'!$E$2:$E$100002=$B29,0) + IFERROR('STOK KULLANIM'!$E$2:$E$100002="",0) + ($B29="") &gt; 0 ),
    IFERROR('STOK KULLANIM'!$H$2:$H$100002,0)*1
  ),
  $C29*1
)</f>
        <v>0</v>
      </c>
      <c r="F29" s="2"/>
      <c r="G29" s="2"/>
      <c r="XFA29" s="3" t="e">
        <f ca="1"/>
        <v>#NAME?</v>
      </c>
    </row>
    <row r="30" spans="1:7 16381:16381" x14ac:dyDescent="0.3">
      <c r="A30" s="31" t="s">
        <v>28</v>
      </c>
      <c r="B30" s="2"/>
      <c r="C30"/>
      <c r="E30" cm="1">
        <f t="array" ref="E30">IFERROR(
  $C30*1 -
  SUMPRODUCT(
    --IFERROR('STOK KULLANIM'!$D$2:$D$100002=$A30,0),
    --IFERROR('STOK KULLANIM'!$I$2:$I$100002=$D30,0),
    --( IFERROR('STOK KULLANIM'!$E$2:$E$100002=$B30,0) + IFERROR('STOK KULLANIM'!$E$2:$E$100002="",0) + ($B30="") &gt; 0 ),
    IFERROR('STOK KULLANIM'!$H$2:$H$100002,0)*1
  ),
  $C30*1
)</f>
        <v>0</v>
      </c>
      <c r="F30" s="2"/>
      <c r="G30" s="2"/>
      <c r="XFA30" s="3" t="e">
        <f ca="1"/>
        <v>#NAME?</v>
      </c>
    </row>
    <row r="31" spans="1:7 16381:16381" x14ac:dyDescent="0.3">
      <c r="A31" s="32" t="s">
        <v>28</v>
      </c>
      <c r="B31" s="2"/>
      <c r="C31"/>
      <c r="E31" cm="1">
        <f t="array" ref="E31">IFERROR(
  $C31*1 -
  SUMPRODUCT(
    --IFERROR('STOK KULLANIM'!$D$2:$D$100002=$A31,0),
    --IFERROR('STOK KULLANIM'!$I$2:$I$100002=$D31,0),
    --( IFERROR('STOK KULLANIM'!$E$2:$E$100002=$B31,0) + IFERROR('STOK KULLANIM'!$E$2:$E$100002="",0) + ($B31="") &gt; 0 ),
    IFERROR('STOK KULLANIM'!$H$2:$H$100002,0)*1
  ),
  $C31*1
)</f>
        <v>0</v>
      </c>
      <c r="F31" s="2"/>
      <c r="G31" s="2"/>
      <c r="XFA31" s="3" t="e">
        <f ca="1"/>
        <v>#NAME?</v>
      </c>
    </row>
    <row r="32" spans="1:7 16381:16381" x14ac:dyDescent="0.3">
      <c r="A32" s="31" t="s">
        <v>29</v>
      </c>
      <c r="B32" s="2"/>
      <c r="C32"/>
      <c r="E32" cm="1">
        <f t="array" ref="E32">IFERROR(
  $C32*1 -
  SUMPRODUCT(
    --IFERROR('STOK KULLANIM'!$D$2:$D$100002=$A32,0),
    --IFERROR('STOK KULLANIM'!$I$2:$I$100002=$D32,0),
    --( IFERROR('STOK KULLANIM'!$E$2:$E$100002=$B32,0) + IFERROR('STOK KULLANIM'!$E$2:$E$100002="",0) + ($B32="") &gt; 0 ),
    IFERROR('STOK KULLANIM'!$H$2:$H$100002,0)*1
  ),
  $C32*1
)</f>
        <v>0</v>
      </c>
      <c r="F32" s="2"/>
      <c r="G32" s="2"/>
      <c r="XFA32" s="3" t="e">
        <f ca="1"/>
        <v>#NAME?</v>
      </c>
    </row>
    <row r="33" spans="1:7 16381:16381" x14ac:dyDescent="0.3">
      <c r="A33" s="32" t="s">
        <v>30</v>
      </c>
      <c r="B33" s="2"/>
      <c r="C33"/>
      <c r="E33" cm="1">
        <f t="array" ref="E33">IFERROR(
  $C33*1 -
  SUMPRODUCT(
    --IFERROR('STOK KULLANIM'!$D$2:$D$100002=$A33,0),
    --IFERROR('STOK KULLANIM'!$I$2:$I$100002=$D33,0),
    --( IFERROR('STOK KULLANIM'!$E$2:$E$100002=$B33,0) + IFERROR('STOK KULLANIM'!$E$2:$E$100002="",0) + ($B33="") &gt; 0 ),
    IFERROR('STOK KULLANIM'!$H$2:$H$100002,0)*1
  ),
  $C33*1
)</f>
        <v>0</v>
      </c>
      <c r="F33" s="2"/>
      <c r="G33" s="2"/>
      <c r="XFA33" s="3" t="e">
        <f ca="1"/>
        <v>#NAME?</v>
      </c>
    </row>
    <row r="34" spans="1:7 16381:16381" x14ac:dyDescent="0.3">
      <c r="A34" s="31" t="s">
        <v>31</v>
      </c>
      <c r="B34" s="2"/>
      <c r="C34"/>
      <c r="E34" cm="1">
        <f t="array" ref="E34">IFERROR(
  $C34*1 -
  SUMPRODUCT(
    --IFERROR('STOK KULLANIM'!$D$2:$D$100002=$A34,0),
    --IFERROR('STOK KULLANIM'!$I$2:$I$100002=$D34,0),
    --( IFERROR('STOK KULLANIM'!$E$2:$E$100002=$B34,0) + IFERROR('STOK KULLANIM'!$E$2:$E$100002="",0) + ($B34="") &gt; 0 ),
    IFERROR('STOK KULLANIM'!$H$2:$H$100002,0)*1
  ),
  $C34*1
)</f>
        <v>0</v>
      </c>
      <c r="F34" s="2"/>
      <c r="G34" s="2"/>
      <c r="XFA34" s="3" t="e">
        <f ca="1"/>
        <v>#NAME?</v>
      </c>
    </row>
    <row r="35" spans="1:7 16381:16381" x14ac:dyDescent="0.3">
      <c r="A35" s="32" t="s">
        <v>31</v>
      </c>
      <c r="B35" s="2"/>
      <c r="C35"/>
      <c r="E35" cm="1">
        <f t="array" ref="E35">IFERROR(
  $C35*1 -
  SUMPRODUCT(
    --IFERROR('STOK KULLANIM'!$D$2:$D$100002=$A35,0),
    --IFERROR('STOK KULLANIM'!$I$2:$I$100002=$D35,0),
    --( IFERROR('STOK KULLANIM'!$E$2:$E$100002=$B35,0) + IFERROR('STOK KULLANIM'!$E$2:$E$100002="",0) + ($B35="") &gt; 0 ),
    IFERROR('STOK KULLANIM'!$H$2:$H$100002,0)*1
  ),
  $C35*1
)</f>
        <v>0</v>
      </c>
      <c r="F35" s="2"/>
      <c r="G35" s="2"/>
      <c r="XFA35" s="3" t="e">
        <f ca="1"/>
        <v>#NAME?</v>
      </c>
    </row>
    <row r="36" spans="1:7 16381:16381" x14ac:dyDescent="0.3">
      <c r="A36" s="31" t="s">
        <v>31</v>
      </c>
      <c r="B36" s="2"/>
      <c r="C36"/>
      <c r="E36" cm="1">
        <f t="array" ref="E36">IFERROR(
  $C36*1 -
  SUMPRODUCT(
    --IFERROR('STOK KULLANIM'!$D$2:$D$100002=$A36,0),
    --IFERROR('STOK KULLANIM'!$I$2:$I$100002=$D36,0),
    --( IFERROR('STOK KULLANIM'!$E$2:$E$100002=$B36,0) + IFERROR('STOK KULLANIM'!$E$2:$E$100002="",0) + ($B36="") &gt; 0 ),
    IFERROR('STOK KULLANIM'!$H$2:$H$100002,0)*1
  ),
  $C36*1
)</f>
        <v>0</v>
      </c>
      <c r="F36" s="2"/>
      <c r="G36" s="2"/>
      <c r="XFA36" s="3" t="e">
        <f ca="1"/>
        <v>#NAME?</v>
      </c>
    </row>
    <row r="37" spans="1:7 16381:16381" x14ac:dyDescent="0.3">
      <c r="A37" s="32" t="s">
        <v>31</v>
      </c>
      <c r="B37" s="2"/>
      <c r="C37"/>
      <c r="E37" cm="1">
        <f t="array" ref="E37">IFERROR(
  $C37*1 -
  SUMPRODUCT(
    --IFERROR('STOK KULLANIM'!$D$2:$D$100002=$A37,0),
    --IFERROR('STOK KULLANIM'!$I$2:$I$100002=$D37,0),
    --( IFERROR('STOK KULLANIM'!$E$2:$E$100002=$B37,0) + IFERROR('STOK KULLANIM'!$E$2:$E$100002="",0) + ($B37="") &gt; 0 ),
    IFERROR('STOK KULLANIM'!$H$2:$H$100002,0)*1
  ),
  $C37*1
)</f>
        <v>0</v>
      </c>
      <c r="F37" s="2"/>
      <c r="G37" s="2"/>
      <c r="XFA37" s="3" t="e">
        <f ca="1"/>
        <v>#NAME?</v>
      </c>
    </row>
    <row r="38" spans="1:7 16381:16381" x14ac:dyDescent="0.3">
      <c r="A38" s="31" t="s">
        <v>32</v>
      </c>
      <c r="B38" s="2"/>
      <c r="C38"/>
      <c r="E38" cm="1">
        <f t="array" ref="E38">IFERROR(
  $C38*1 -
  SUMPRODUCT(
    --IFERROR('STOK KULLANIM'!$D$2:$D$100002=$A38,0),
    --IFERROR('STOK KULLANIM'!$I$2:$I$100002=$D38,0),
    --( IFERROR('STOK KULLANIM'!$E$2:$E$100002=$B38,0) + IFERROR('STOK KULLANIM'!$E$2:$E$100002="",0) + ($B38="") &gt; 0 ),
    IFERROR('STOK KULLANIM'!$H$2:$H$100002,0)*1
  ),
  $C38*1
)</f>
        <v>0</v>
      </c>
      <c r="F38" s="1"/>
      <c r="G38" s="1"/>
      <c r="XFA38" s="3" t="e">
        <f ca="1"/>
        <v>#NAME?</v>
      </c>
    </row>
    <row r="39" spans="1:7 16381:16381" x14ac:dyDescent="0.3">
      <c r="A39" s="32" t="s">
        <v>33</v>
      </c>
      <c r="B39" s="2"/>
      <c r="C39"/>
      <c r="E39" cm="1">
        <f t="array" ref="E39">IFERROR(
  $C39*1 -
  SUMPRODUCT(
    --IFERROR('STOK KULLANIM'!$D$2:$D$100002=$A39,0),
    --IFERROR('STOK KULLANIM'!$I$2:$I$100002=$D39,0),
    --( IFERROR('STOK KULLANIM'!$E$2:$E$100002=$B39,0) + IFERROR('STOK KULLANIM'!$E$2:$E$100002="",0) + ($B39="") &gt; 0 ),
    IFERROR('STOK KULLANIM'!$H$2:$H$100002,0)*1
  ),
  $C39*1
)</f>
        <v>0</v>
      </c>
      <c r="F39" s="2"/>
      <c r="G39" s="2"/>
      <c r="XFA39" s="3" t="e">
        <f ca="1"/>
        <v>#NAME?</v>
      </c>
    </row>
    <row r="40" spans="1:7 16381:16381" x14ac:dyDescent="0.3">
      <c r="A40" s="31" t="s">
        <v>34</v>
      </c>
      <c r="B40" s="2"/>
      <c r="C40"/>
      <c r="E40" cm="1">
        <f t="array" ref="E40">IFERROR(
  $C40*1 -
  SUMPRODUCT(
    --IFERROR('STOK KULLANIM'!$D$2:$D$100002=$A40,0),
    --IFERROR('STOK KULLANIM'!$I$2:$I$100002=$D40,0),
    --( IFERROR('STOK KULLANIM'!$E$2:$E$100002=$B40,0) + IFERROR('STOK KULLANIM'!$E$2:$E$100002="",0) + ($B40="") &gt; 0 ),
    IFERROR('STOK KULLANIM'!$H$2:$H$100002,0)*1
  ),
  $C40*1
)</f>
        <v>0</v>
      </c>
      <c r="F40" s="2"/>
      <c r="G40" s="2"/>
      <c r="XFA40" s="3" t="e">
        <f ca="1"/>
        <v>#NAME?</v>
      </c>
    </row>
    <row r="41" spans="1:7 16381:16381" x14ac:dyDescent="0.3">
      <c r="A41" s="32" t="s">
        <v>35</v>
      </c>
      <c r="B41" s="2"/>
      <c r="C41"/>
      <c r="E41" cm="1">
        <f t="array" ref="E41">IFERROR(
  $C41*1 -
  SUMPRODUCT(
    --IFERROR('STOK KULLANIM'!$D$2:$D$100002=$A41,0),
    --IFERROR('STOK KULLANIM'!$I$2:$I$100002=$D41,0),
    --( IFERROR('STOK KULLANIM'!$E$2:$E$100002=$B41,0) + IFERROR('STOK KULLANIM'!$E$2:$E$100002="",0) + ($B41="") &gt; 0 ),
    IFERROR('STOK KULLANIM'!$H$2:$H$100002,0)*1
  ),
  $C41*1
)</f>
        <v>0</v>
      </c>
      <c r="F41" s="2"/>
      <c r="G41" s="2"/>
      <c r="XFA41" s="3" t="e">
        <f ca="1"/>
        <v>#NAME?</v>
      </c>
    </row>
    <row r="42" spans="1:7 16381:16381" x14ac:dyDescent="0.3">
      <c r="A42" s="31" t="s">
        <v>51</v>
      </c>
      <c r="B42" s="2"/>
      <c r="C42"/>
      <c r="E42" cm="1">
        <f t="array" ref="E42">IFERROR(
  $C42*1 -
  SUMPRODUCT(
    --IFERROR('STOK KULLANIM'!$D$2:$D$100002=$A42,0),
    --IFERROR('STOK KULLANIM'!$I$2:$I$100002=$D42,0),
    --( IFERROR('STOK KULLANIM'!$E$2:$E$100002=$B42,0) + IFERROR('STOK KULLANIM'!$E$2:$E$100002="",0) + ($B42="") &gt; 0 ),
    IFERROR('STOK KULLANIM'!$H$2:$H$100002,0)*1
  ),
  $C42*1
)</f>
        <v>0</v>
      </c>
      <c r="F42" s="2"/>
      <c r="G42" s="2"/>
      <c r="XFA42" s="3" t="e">
        <f ca="1"/>
        <v>#NAME?</v>
      </c>
    </row>
    <row r="43" spans="1:7 16381:16381" x14ac:dyDescent="0.3">
      <c r="A43" s="32" t="s">
        <v>36</v>
      </c>
      <c r="B43" s="2"/>
      <c r="C43"/>
      <c r="E43" cm="1">
        <f t="array" ref="E43">IFERROR(
  $C43*1 -
  SUMPRODUCT(
    --IFERROR('STOK KULLANIM'!$D$2:$D$100002=$A43,0),
    --IFERROR('STOK KULLANIM'!$I$2:$I$100002=$D43,0),
    --( IFERROR('STOK KULLANIM'!$E$2:$E$100002=$B43,0) + IFERROR('STOK KULLANIM'!$E$2:$E$100002="",0) + ($B43="") &gt; 0 ),
    IFERROR('STOK KULLANIM'!$H$2:$H$100002,0)*1
  ),
  $C43*1
)</f>
        <v>0</v>
      </c>
      <c r="F43" s="2"/>
      <c r="G43" s="2"/>
      <c r="XFA43" s="3" t="e">
        <f ca="1"/>
        <v>#NAME?</v>
      </c>
    </row>
    <row r="44" spans="1:7 16381:16381" x14ac:dyDescent="0.3">
      <c r="A44" s="31" t="s">
        <v>36</v>
      </c>
      <c r="B44" s="2"/>
      <c r="C44"/>
      <c r="E44" cm="1">
        <f t="array" ref="E44">IFERROR(
  $C44*1 -
  SUMPRODUCT(
    --IFERROR('STOK KULLANIM'!$D$2:$D$100002=$A44,0),
    --IFERROR('STOK KULLANIM'!$I$2:$I$100002=$D44,0),
    --( IFERROR('STOK KULLANIM'!$E$2:$E$100002=$B44,0) + IFERROR('STOK KULLANIM'!$E$2:$E$100002="",0) + ($B44="") &gt; 0 ),
    IFERROR('STOK KULLANIM'!$H$2:$H$100002,0)*1
  ),
  $C44*1
)</f>
        <v>0</v>
      </c>
      <c r="F44" s="2"/>
      <c r="G44" s="2"/>
    </row>
    <row r="45" spans="1:7 16381:16381" x14ac:dyDescent="0.3">
      <c r="A45" s="32" t="s">
        <v>37</v>
      </c>
      <c r="B45" s="2"/>
      <c r="C45"/>
      <c r="E45" cm="1">
        <f t="array" ref="E45">IFERROR(
  $C45*1 -
  SUMPRODUCT(
    --IFERROR('STOK KULLANIM'!$D$2:$D$100002=$A45,0),
    --IFERROR('STOK KULLANIM'!$I$2:$I$100002=$D45,0),
    --( IFERROR('STOK KULLANIM'!$E$2:$E$100002=$B45,0) + IFERROR('STOK KULLANIM'!$E$2:$E$100002="",0) + ($B45="") &gt; 0 ),
    IFERROR('STOK KULLANIM'!$H$2:$H$100002,0)*1
  ),
  $C45*1
)</f>
        <v>0</v>
      </c>
      <c r="F45" s="2"/>
      <c r="G45" s="2"/>
    </row>
    <row r="46" spans="1:7 16381:16381" x14ac:dyDescent="0.3">
      <c r="A46" s="31" t="s">
        <v>37</v>
      </c>
      <c r="B46" s="2"/>
      <c r="C46"/>
      <c r="E46" cm="1">
        <f t="array" ref="E46">IFERROR(
  $C46*1 -
  SUMPRODUCT(
    --IFERROR('STOK KULLANIM'!$D$2:$D$100002=$A46,0),
    --IFERROR('STOK KULLANIM'!$I$2:$I$100002=$D46,0),
    --( IFERROR('STOK KULLANIM'!$E$2:$E$100002=$B46,0) + IFERROR('STOK KULLANIM'!$E$2:$E$100002="",0) + ($B46="") &gt; 0 ),
    IFERROR('STOK KULLANIM'!$H$2:$H$100002,0)*1
  ),
  $C46*1
)</f>
        <v>0</v>
      </c>
      <c r="F46" s="2"/>
      <c r="G46" s="2"/>
    </row>
    <row r="47" spans="1:7 16381:16381" x14ac:dyDescent="0.3">
      <c r="A47" s="32" t="s">
        <v>37</v>
      </c>
      <c r="B47" s="2"/>
      <c r="C47"/>
      <c r="E47" cm="1">
        <f t="array" ref="E47">IFERROR(
  $C47*1 -
  SUMPRODUCT(
    --IFERROR('STOK KULLANIM'!$D$2:$D$100002=$A47,0),
    --IFERROR('STOK KULLANIM'!$I$2:$I$100002=$D47,0),
    --( IFERROR('STOK KULLANIM'!$E$2:$E$100002=$B47,0) + IFERROR('STOK KULLANIM'!$E$2:$E$100002="",0) + ($B47="") &gt; 0 ),
    IFERROR('STOK KULLANIM'!$H$2:$H$100002,0)*1
  ),
  $C47*1
)</f>
        <v>0</v>
      </c>
      <c r="F47" s="2"/>
      <c r="G47" s="2"/>
    </row>
    <row r="48" spans="1:7 16381:16381" x14ac:dyDescent="0.3">
      <c r="A48" s="31" t="s">
        <v>38</v>
      </c>
      <c r="B48" s="2"/>
      <c r="C48"/>
      <c r="E48" cm="1">
        <f t="array" ref="E48">IFERROR(
  $C48*1 -
  SUMPRODUCT(
    --IFERROR('STOK KULLANIM'!$D$2:$D$100002=$A48,0),
    --IFERROR('STOK KULLANIM'!$I$2:$I$100002=$D48,0),
    --( IFERROR('STOK KULLANIM'!$E$2:$E$100002=$B48,0) + IFERROR('STOK KULLANIM'!$E$2:$E$100002="",0) + ($B48="") &gt; 0 ),
    IFERROR('STOK KULLANIM'!$H$2:$H$100002,0)*1
  ),
  $C48*1
)</f>
        <v>0</v>
      </c>
      <c r="F48" s="2"/>
      <c r="G48" s="2"/>
    </row>
    <row r="49" spans="1:7" x14ac:dyDescent="0.3">
      <c r="A49" s="32" t="s">
        <v>39</v>
      </c>
      <c r="B49" s="2"/>
      <c r="C49"/>
      <c r="E49" cm="1">
        <f t="array" ref="E49">IFERROR(
  $C49*1 -
  SUMPRODUCT(
    --IFERROR('STOK KULLANIM'!$D$2:$D$100002=$A49,0),
    --IFERROR('STOK KULLANIM'!$I$2:$I$100002=$D49,0),
    --( IFERROR('STOK KULLANIM'!$E$2:$E$100002=$B49,0) + IFERROR('STOK KULLANIM'!$E$2:$E$100002="",0) + ($B49="") &gt; 0 ),
    IFERROR('STOK KULLANIM'!$H$2:$H$100002,0)*1
  ),
  $C49*1
)</f>
        <v>0</v>
      </c>
      <c r="F49" s="2"/>
      <c r="G49" s="2"/>
    </row>
    <row r="50" spans="1:7" x14ac:dyDescent="0.3">
      <c r="A50" s="31" t="s">
        <v>40</v>
      </c>
      <c r="B50" s="2"/>
      <c r="C50"/>
      <c r="E50" cm="1">
        <f t="array" ref="E50">IFERROR(
  $C50*1 -
  SUMPRODUCT(
    --IFERROR('STOK KULLANIM'!$D$2:$D$100002=$A50,0),
    --IFERROR('STOK KULLANIM'!$I$2:$I$100002=$D50,0),
    --( IFERROR('STOK KULLANIM'!$E$2:$E$100002=$B50,0) + IFERROR('STOK KULLANIM'!$E$2:$E$100002="",0) + ($B50="") &gt; 0 ),
    IFERROR('STOK KULLANIM'!$H$2:$H$100002,0)*1
  ),
  $C50*1
)</f>
        <v>0</v>
      </c>
      <c r="F50" s="2"/>
      <c r="G50" s="2"/>
    </row>
    <row r="51" spans="1:7" x14ac:dyDescent="0.3">
      <c r="A51" s="32" t="s">
        <v>41</v>
      </c>
      <c r="B51" s="2"/>
      <c r="C51"/>
      <c r="E51" cm="1">
        <f t="array" ref="E51">IFERROR(
  $C51*1 -
  SUMPRODUCT(
    --IFERROR('STOK KULLANIM'!$D$2:$D$100002=$A51,0),
    --IFERROR('STOK KULLANIM'!$I$2:$I$100002=$D51,0),
    --( IFERROR('STOK KULLANIM'!$E$2:$E$100002=$B51,0) + IFERROR('STOK KULLANIM'!$E$2:$E$100002="",0) + ($B51="") &gt; 0 ),
    IFERROR('STOK KULLANIM'!$H$2:$H$100002,0)*1
  ),
  $C51*1
)</f>
        <v>0</v>
      </c>
      <c r="F51" s="2"/>
      <c r="G51" s="2"/>
    </row>
    <row r="52" spans="1:7" x14ac:dyDescent="0.3">
      <c r="A52" s="31" t="s">
        <v>42</v>
      </c>
      <c r="B52" s="2"/>
      <c r="C52"/>
      <c r="E52" cm="1">
        <f t="array" ref="E52">IFERROR(
  $C52*1 -
  SUMPRODUCT(
    --IFERROR('STOK KULLANIM'!$D$2:$D$100002=$A52,0),
    --IFERROR('STOK KULLANIM'!$I$2:$I$100002=$D52,0),
    --( IFERROR('STOK KULLANIM'!$E$2:$E$100002=$B52,0) + IFERROR('STOK KULLANIM'!$E$2:$E$100002="",0) + ($B52="") &gt; 0 ),
    IFERROR('STOK KULLANIM'!$H$2:$H$100002,0)*1
  ),
  $C52*1
)</f>
        <v>0</v>
      </c>
      <c r="F52" s="2"/>
      <c r="G52" s="2"/>
    </row>
    <row r="53" spans="1:7" x14ac:dyDescent="0.3">
      <c r="A53" s="32" t="s">
        <v>42</v>
      </c>
      <c r="B53" s="2"/>
      <c r="C53"/>
      <c r="E53" cm="1">
        <f t="array" ref="E53">IFERROR(
  $C53*1 -
  SUMPRODUCT(
    --IFERROR('STOK KULLANIM'!$D$2:$D$100002=$A53,0),
    --IFERROR('STOK KULLANIM'!$I$2:$I$100002=$D53,0),
    --( IFERROR('STOK KULLANIM'!$E$2:$E$100002=$B53,0) + IFERROR('STOK KULLANIM'!$E$2:$E$100002="",0) + ($B53="") &gt; 0 ),
    IFERROR('STOK KULLANIM'!$H$2:$H$100002,0)*1
  ),
  $C53*1
)</f>
        <v>0</v>
      </c>
      <c r="F53" s="2"/>
      <c r="G53" s="2"/>
    </row>
    <row r="54" spans="1:7" x14ac:dyDescent="0.3">
      <c r="A54" s="31" t="s">
        <v>42</v>
      </c>
      <c r="B54" s="2"/>
      <c r="C54"/>
      <c r="E54" cm="1">
        <f t="array" ref="E54">IFERROR(
  $C54*1 -
  SUMPRODUCT(
    --IFERROR('STOK KULLANIM'!$D$2:$D$100002=$A54,0),
    --IFERROR('STOK KULLANIM'!$I$2:$I$100002=$D54,0),
    --( IFERROR('STOK KULLANIM'!$E$2:$E$100002=$B54,0) + IFERROR('STOK KULLANIM'!$E$2:$E$100002="",0) + ($B54="") &gt; 0 ),
    IFERROR('STOK KULLANIM'!$H$2:$H$100002,0)*1
  ),
  $C54*1
)</f>
        <v>0</v>
      </c>
      <c r="F54" s="2"/>
      <c r="G54" s="2"/>
    </row>
    <row r="55" spans="1:7" x14ac:dyDescent="0.3">
      <c r="A55" s="32" t="s">
        <v>43</v>
      </c>
      <c r="B55" s="2" t="s">
        <v>52</v>
      </c>
      <c r="C55">
        <v>108</v>
      </c>
      <c r="D55">
        <v>6000</v>
      </c>
      <c r="E55" s="38" cm="1">
        <f t="array" ref="E55">IFERROR(
  $C55*1 -
  SUMPRODUCT(
    --IFERROR('STOK KULLANIM'!$D$2:$D$100002=$A55,0),
    --IFERROR('STOK KULLANIM'!$I$2:$I$100002=$D55,0),
    --( IFERROR('STOK KULLANIM'!$E$2:$E$100002=$B55,0) + IFERROR('STOK KULLANIM'!$E$2:$E$100002="",0) + ($B55="") &gt; 0 ),
    IFERROR('STOK KULLANIM'!$H$2:$H$100002,0)*1
  ),
  $C55*1
)</f>
        <v>108</v>
      </c>
      <c r="F55" s="2"/>
      <c r="G55" s="2"/>
    </row>
    <row r="56" spans="1:7" x14ac:dyDescent="0.3">
      <c r="A56" s="31" t="s">
        <v>44</v>
      </c>
      <c r="B56" s="6"/>
      <c r="C56" s="11"/>
      <c r="D56" s="9"/>
      <c r="E56" s="39" cm="1">
        <f t="array" ref="E56">IFERROR(
  $C56*1 -
  SUMPRODUCT(
    --IFERROR('STOK KULLANIM'!$D$2:$D$100002=$A56,0),
    --IFERROR('STOK KULLANIM'!$I$2:$I$100002=$D56,0),
    --( IFERROR('STOK KULLANIM'!$E$2:$E$100002=$B56,0) + IFERROR('STOK KULLANIM'!$E$2:$E$100002="",0) + ($B56="") &gt; 0 ),
    IFERROR('STOK KULLANIM'!$H$2:$H$100002,0)*1
  ),
  $C56*1
)</f>
        <v>0</v>
      </c>
      <c r="F56" s="2"/>
      <c r="G56" s="2"/>
    </row>
    <row r="57" spans="1:7" x14ac:dyDescent="0.3">
      <c r="A57" s="32" t="s">
        <v>45</v>
      </c>
      <c r="B57" s="6"/>
      <c r="C57" s="11"/>
      <c r="D57" s="9"/>
      <c r="E57" s="39" cm="1">
        <f t="array" ref="E57">IFERROR(
  $C57*1 -
  SUMPRODUCT(
    --IFERROR('STOK KULLANIM'!$D$2:$D$100002=$A57,0),
    --IFERROR('STOK KULLANIM'!$I$2:$I$100002=$D57,0),
    --( IFERROR('STOK KULLANIM'!$E$2:$E$100002=$B57,0) + IFERROR('STOK KULLANIM'!$E$2:$E$100002="",0) + ($B57="") &gt; 0 ),
    IFERROR('STOK KULLANIM'!$H$2:$H$100002,0)*1
  ),
  $C57*1
)</f>
        <v>0</v>
      </c>
      <c r="F57" s="2"/>
      <c r="G57" s="2"/>
    </row>
    <row r="58" spans="1:7" x14ac:dyDescent="0.3">
      <c r="A58" s="31" t="s">
        <v>45</v>
      </c>
      <c r="B58" s="6"/>
      <c r="C58" s="11"/>
      <c r="D58" s="9"/>
      <c r="E58" s="39" cm="1">
        <f t="array" ref="E58">IFERROR(
  $C58*1 -
  SUMPRODUCT(
    --IFERROR('STOK KULLANIM'!$D$2:$D$100002=$A58,0),
    --IFERROR('STOK KULLANIM'!$I$2:$I$100002=$D58,0),
    --( IFERROR('STOK KULLANIM'!$E$2:$E$100002=$B58,0) + IFERROR('STOK KULLANIM'!$E$2:$E$100002="",0) + ($B58="") &gt; 0 ),
    IFERROR('STOK KULLANIM'!$H$2:$H$100002,0)*1
  ),
  $C58*1
)</f>
        <v>0</v>
      </c>
      <c r="F58" s="2"/>
      <c r="G58" s="2"/>
    </row>
    <row r="59" spans="1:7" x14ac:dyDescent="0.3">
      <c r="A59" s="32" t="s">
        <v>46</v>
      </c>
      <c r="B59" s="6"/>
      <c r="C59" s="11"/>
      <c r="D59" s="9"/>
      <c r="E59" s="39" cm="1">
        <f t="array" ref="E59">IFERROR(
  $C59*1 -
  SUMPRODUCT(
    --IFERROR('STOK KULLANIM'!$D$2:$D$100002=$A59,0),
    --IFERROR('STOK KULLANIM'!$I$2:$I$100002=$D59,0),
    --( IFERROR('STOK KULLANIM'!$E$2:$E$100002=$B59,0) + IFERROR('STOK KULLANIM'!$E$2:$E$100002="",0) + ($B59="") &gt; 0 ),
    IFERROR('STOK KULLANIM'!$H$2:$H$100002,0)*1
  ),
  $C59*1
)</f>
        <v>0</v>
      </c>
      <c r="F59" s="2"/>
      <c r="G59" s="2"/>
    </row>
    <row r="60" spans="1:7" x14ac:dyDescent="0.3">
      <c r="A60" s="31" t="s">
        <v>46</v>
      </c>
      <c r="B60" s="6"/>
      <c r="C60" s="11"/>
      <c r="D60" s="9"/>
      <c r="E60" s="39" cm="1">
        <f t="array" ref="E60">IFERROR(
  $C60*1 -
  SUMPRODUCT(
    --IFERROR('STOK KULLANIM'!$D$2:$D$100002=$A60,0),
    --IFERROR('STOK KULLANIM'!$I$2:$I$100002=$D60,0),
    --( IFERROR('STOK KULLANIM'!$E$2:$E$100002=$B60,0) + IFERROR('STOK KULLANIM'!$E$2:$E$100002="",0) + ($B60="") &gt; 0 ),
    IFERROR('STOK KULLANIM'!$H$2:$H$100002,0)*1
  ),
  $C60*1
)</f>
        <v>0</v>
      </c>
      <c r="F60" s="2"/>
      <c r="G60" s="2"/>
    </row>
    <row r="61" spans="1:7" x14ac:dyDescent="0.3">
      <c r="A61" s="32" t="s">
        <v>47</v>
      </c>
      <c r="B61" s="6"/>
      <c r="C61" s="11"/>
      <c r="D61" s="9"/>
      <c r="E61" s="39" cm="1">
        <f t="array" ref="E61">IFERROR(
  $C61*1 -
  SUMPRODUCT(
    --IFERROR('STOK KULLANIM'!$D$2:$D$100002=$A61,0),
    --IFERROR('STOK KULLANIM'!$I$2:$I$100002=$D61,0),
    --( IFERROR('STOK KULLANIM'!$E$2:$E$100002=$B61,0) + IFERROR('STOK KULLANIM'!$E$2:$E$100002="",0) + ($B61="") &gt; 0 ),
    IFERROR('STOK KULLANIM'!$H$2:$H$100002,0)*1
  ),
  $C61*1
)</f>
        <v>0</v>
      </c>
      <c r="F61" s="2"/>
      <c r="G61" s="2"/>
    </row>
    <row r="62" spans="1:7" x14ac:dyDescent="0.3">
      <c r="A62" s="31" t="s">
        <v>48</v>
      </c>
      <c r="B62" s="6"/>
      <c r="C62" s="11"/>
      <c r="D62" s="9"/>
      <c r="E62" s="39" cm="1">
        <f t="array" ref="E62">IFERROR(
  $C62*1 -
  SUMPRODUCT(
    --IFERROR('STOK KULLANIM'!$D$2:$D$100002=$A62,0),
    --IFERROR('STOK KULLANIM'!$I$2:$I$100002=$D62,0),
    --( IFERROR('STOK KULLANIM'!$E$2:$E$100002=$B62,0) + IFERROR('STOK KULLANIM'!$E$2:$E$100002="",0) + ($B62="") &gt; 0 ),
    IFERROR('STOK KULLANIM'!$H$2:$H$100002,0)*1
  ),
  $C62*1
)</f>
        <v>0</v>
      </c>
      <c r="F62" s="2"/>
      <c r="G62" s="2"/>
    </row>
    <row r="63" spans="1:7" x14ac:dyDescent="0.3">
      <c r="A63" s="32" t="s">
        <v>49</v>
      </c>
      <c r="B63" s="6"/>
      <c r="C63" s="11"/>
      <c r="D63" s="9"/>
      <c r="E63" s="39" cm="1">
        <f t="array" ref="E63">IFERROR(
  $C63*1 -
  SUMPRODUCT(
    --IFERROR('STOK KULLANIM'!$D$2:$D$100002=$A63,0),
    --IFERROR('STOK KULLANIM'!$I$2:$I$100002=$D63,0),
    --( IFERROR('STOK KULLANIM'!$E$2:$E$100002=$B63,0) + IFERROR('STOK KULLANIM'!$E$2:$E$100002="",0) + ($B63="") &gt; 0 ),
    IFERROR('STOK KULLANIM'!$H$2:$H$100002,0)*1
  ),
  $C63*1
)</f>
        <v>0</v>
      </c>
      <c r="F63" s="2"/>
      <c r="G63" s="2"/>
    </row>
    <row r="64" spans="1:7" x14ac:dyDescent="0.3">
      <c r="A64" s="31" t="s">
        <v>50</v>
      </c>
      <c r="B64" s="2" t="s">
        <v>52</v>
      </c>
      <c r="C64">
        <v>108</v>
      </c>
      <c r="D64">
        <v>6000</v>
      </c>
      <c r="E64" s="39" cm="1">
        <f t="array" ref="E64">IFERROR(
  $C64*1 -
  SUMPRODUCT(
    --IFERROR('STOK KULLANIM'!$D$2:$D$100002=$A64,0),
    --IFERROR('STOK KULLANIM'!$I$2:$I$100002=$D64,0),
    --( IFERROR('STOK KULLANIM'!$E$2:$E$100002=$B64,0) + IFERROR('STOK KULLANIM'!$E$2:$E$100002="",0) + ($B64="") &gt; 0 ),
    IFERROR('STOK KULLANIM'!$H$2:$H$100002,0)*1
  ),
  $C64*1
)</f>
        <v>108</v>
      </c>
      <c r="F64" s="2"/>
      <c r="G64" s="2"/>
    </row>
    <row r="65" spans="4:7" x14ac:dyDescent="0.3">
      <c r="D65" s="9"/>
      <c r="E65" s="10" cm="1">
        <f t="array" ref="E65">IFERROR(
  $C67 -
  SUMPRODUCT(
    ('STOK KULLANIM'!$D$2:$D$100002=$A67) *
    ('STOK KULLANIM'!$G$2:$G$100002=$D67) *
    --( ('STOK KULLANIM'!$E$2:$E$100002=$B67) + ('STOK KULLANIM'!$E$2:$E$100002="") + ($B67="") &gt; 0 ) *
    ('STOK KULLANIM'!$A$2:$A$100002=MAX('STOK KULLANIM'!$A$2:$A$100002)) *
    'STOK KULLANIM'!$F$2:$F$100002
  ),
"")</f>
        <v>0</v>
      </c>
      <c r="F65" s="2"/>
      <c r="G65" s="2"/>
    </row>
    <row r="66" spans="4:7" x14ac:dyDescent="0.3">
      <c r="D66" s="9"/>
      <c r="E66" s="10" cm="1">
        <f t="array" ref="E66">IFERROR(
  $C68 -
  SUMPRODUCT(
    ('STOK KULLANIM'!$D$2:$D$100002=$A68) *
    ('STOK KULLANIM'!$G$2:$G$100002=$D68) *
    --( ('STOK KULLANIM'!$E$2:$E$100002=$B68) + ('STOK KULLANIM'!$E$2:$E$100002="") + ($B68="") &gt; 0 ) *
    ('STOK KULLANIM'!$A$2:$A$100002=MAX('STOK KULLANIM'!$A$2:$A$100002)) *
    'STOK KULLANIM'!$F$2:$F$100002
  ),
"")</f>
        <v>0</v>
      </c>
      <c r="F66" s="2"/>
      <c r="G66" s="2"/>
    </row>
    <row r="67" spans="4:7" x14ac:dyDescent="0.3">
      <c r="D67" s="9"/>
      <c r="E67" s="10" cm="1">
        <f t="array" ref="E67">IFERROR(
  $C69 -
  SUMPRODUCT(
    ('STOK KULLANIM'!$D$2:$D$100002=$A69) *
    ('STOK KULLANIM'!$G$2:$G$100002=$D69) *
    --( ('STOK KULLANIM'!$E$2:$E$100002=$B69) + ('STOK KULLANIM'!$E$2:$E$100002="") + ($B69="") &gt; 0 ) *
    ('STOK KULLANIM'!$A$2:$A$100002=MAX('STOK KULLANIM'!$A$2:$A$100002)) *
    'STOK KULLANIM'!$F$2:$F$100002
  ),
"")</f>
        <v>0</v>
      </c>
    </row>
    <row r="68" spans="4:7" x14ac:dyDescent="0.3">
      <c r="D68" s="9"/>
      <c r="E68" s="10" cm="1">
        <f t="array" ref="E68">IFERROR(
  $C70 -
  SUMPRODUCT(
    ('STOK KULLANIM'!$D$2:$D$100002=$A70) *
    ('STOK KULLANIM'!$G$2:$G$100002=$D70) *
    --( ('STOK KULLANIM'!$E$2:$E$100002=$B70) + ('STOK KULLANIM'!$E$2:$E$100002="") + ($B70="") &gt; 0 ) *
    ('STOK KULLANIM'!$A$2:$A$100002=MAX('STOK KULLANIM'!$A$2:$A$100002)) *
    'STOK KULLANIM'!$F$2:$F$100002
  ),
"")</f>
        <v>0</v>
      </c>
    </row>
    <row r="69" spans="4:7" x14ac:dyDescent="0.3">
      <c r="D69" s="9"/>
      <c r="E69" s="10" cm="1">
        <f t="array" ref="E69">IFERROR(
  $C71 -
  SUMPRODUCT(
    ('STOK KULLANIM'!$D$2:$D$100002=$A71) *
    ('STOK KULLANIM'!$G$2:$G$100002=$D71) *
    --( ('STOK KULLANIM'!$E$2:$E$100002=$B71) + ('STOK KULLANIM'!$E$2:$E$100002="") + ($B71="") &gt; 0 ) *
    ('STOK KULLANIM'!$A$2:$A$100002=MAX('STOK KULLANIM'!$A$2:$A$100002)) *
    'STOK KULLANIM'!$F$2:$F$100002
  ),
"")</f>
        <v>0</v>
      </c>
    </row>
    <row r="70" spans="4:7" x14ac:dyDescent="0.3">
      <c r="D70" s="9"/>
      <c r="E70" s="10" cm="1">
        <f t="array" ref="E70">IFERROR(
  $C72 -
  SUMPRODUCT(
    ('STOK KULLANIM'!$D$2:$D$100002=$A72) *
    ('STOK KULLANIM'!$G$2:$G$100002=$D72) *
    --( ('STOK KULLANIM'!$E$2:$E$100002=$B72) + ('STOK KULLANIM'!$E$2:$E$100002="") + ($B72="") &gt; 0 ) *
    ('STOK KULLANIM'!$A$2:$A$100002=MAX('STOK KULLANIM'!$A$2:$A$100002)) *
    'STOK KULLANIM'!$F$2:$F$100002
  ),
"")</f>
        <v>0</v>
      </c>
    </row>
    <row r="71" spans="4:7" x14ac:dyDescent="0.3">
      <c r="D71" s="9"/>
      <c r="E71" s="10" cm="1">
        <f t="array" ref="E71">IFERROR(
  $C73 -
  SUMPRODUCT(
    ('STOK KULLANIM'!$D$2:$D$100002=$A73) *
    ('STOK KULLANIM'!$G$2:$G$100002=$D73) *
    --( ('STOK KULLANIM'!$E$2:$E$100002=$B73) + ('STOK KULLANIM'!$E$2:$E$100002="") + ($B73="") &gt; 0 ) *
    ('STOK KULLANIM'!$A$2:$A$100002=MAX('STOK KULLANIM'!$A$2:$A$100002)) *
    'STOK KULLANIM'!$F$2:$F$100002
  ),
"")</f>
        <v>0</v>
      </c>
    </row>
    <row r="72" spans="4:7" x14ac:dyDescent="0.3">
      <c r="D72" s="9"/>
      <c r="E72" s="10" cm="1">
        <f t="array" ref="E72">IFERROR(
  $C74 -
  SUMPRODUCT(
    ('STOK KULLANIM'!$D$2:$D$100002=$A74) *
    ('STOK KULLANIM'!$G$2:$G$100002=$D74) *
    --( ('STOK KULLANIM'!$E$2:$E$100002=$B74) + ('STOK KULLANIM'!$E$2:$E$100002="") + ($B74="") &gt; 0 ) *
    ('STOK KULLANIM'!$A$2:$A$100002=MAX('STOK KULLANIM'!$A$2:$A$100002)) *
    'STOK KULLANIM'!$F$2:$F$100002
  ),
"")</f>
        <v>0</v>
      </c>
    </row>
    <row r="73" spans="4:7" x14ac:dyDescent="0.3">
      <c r="D73" s="9"/>
      <c r="E73" s="10" cm="1">
        <f t="array" ref="E73">IFERROR(
  $C75 -
  SUMPRODUCT(
    ('STOK KULLANIM'!$D$2:$D$100002=$A75) *
    ('STOK KULLANIM'!$G$2:$G$100002=$D75) *
    --( ('STOK KULLANIM'!$E$2:$E$100002=$B75) + ('STOK KULLANIM'!$E$2:$E$100002="") + ($B75="") &gt; 0 ) *
    ('STOK KULLANIM'!$A$2:$A$100002=MAX('STOK KULLANIM'!$A$2:$A$100002)) *
    'STOK KULLANIM'!$F$2:$F$100002
  ),
"")</f>
        <v>0</v>
      </c>
    </row>
    <row r="74" spans="4:7" x14ac:dyDescent="0.3">
      <c r="D74" s="9"/>
      <c r="E74" s="10" cm="1">
        <f t="array" ref="E74">IFERROR(
  $C76 -
  SUMPRODUCT(
    ('STOK KULLANIM'!$D$2:$D$100002=$A76) *
    ('STOK KULLANIM'!$G$2:$G$100002=$D76) *
    --( ('STOK KULLANIM'!$E$2:$E$100002=$B76) + ('STOK KULLANIM'!$E$2:$E$100002="") + ($B76="") &gt; 0 ) *
    ('STOK KULLANIM'!$A$2:$A$100002=MAX('STOK KULLANIM'!$A$2:$A$100002)) *
    'STOK KULLANIM'!$F$2:$F$100002
  ),
"")</f>
        <v>0</v>
      </c>
    </row>
    <row r="75" spans="4:7" x14ac:dyDescent="0.3">
      <c r="D75" s="9"/>
      <c r="E75" s="10" cm="1">
        <f t="array" ref="E75">IFERROR(
  $C77 -
  SUMPRODUCT(
    ('STOK KULLANIM'!$D$2:$D$100002=$A77) *
    ('STOK KULLANIM'!$G$2:$G$100002=$D77) *
    --( ('STOK KULLANIM'!$E$2:$E$100002=$B77) + ('STOK KULLANIM'!$E$2:$E$100002="") + ($B77="") &gt; 0 ) *
    ('STOK KULLANIM'!$A$2:$A$100002=MAX('STOK KULLANIM'!$A$2:$A$100002)) *
    'STOK KULLANIM'!$F$2:$F$100002
  ),
"")</f>
        <v>0</v>
      </c>
    </row>
    <row r="76" spans="4:7" x14ac:dyDescent="0.3">
      <c r="D76" s="9"/>
      <c r="E76" s="10" cm="1">
        <f t="array" ref="E76">IFERROR(
  $C78 -
  SUMPRODUCT(
    ('STOK KULLANIM'!$D$2:$D$100002=$A78) *
    ('STOK KULLANIM'!$G$2:$G$100002=$D78) *
    --( ('STOK KULLANIM'!$E$2:$E$100002=$B78) + ('STOK KULLANIM'!$E$2:$E$100002="") + ($B78="") &gt; 0 ) *
    ('STOK KULLANIM'!$A$2:$A$100002=MAX('STOK KULLANIM'!$A$2:$A$100002)) *
    'STOK KULLANIM'!$F$2:$F$100002
  ),
"")</f>
        <v>0</v>
      </c>
    </row>
    <row r="77" spans="4:7" x14ac:dyDescent="0.3">
      <c r="D77" s="9"/>
      <c r="E77" s="10" cm="1">
        <f t="array" ref="E77">IFERROR(
  $C79 -
  SUMPRODUCT(
    ('STOK KULLANIM'!$D$2:$D$100002=$A79) *
    ('STOK KULLANIM'!$G$2:$G$100002=$D79) *
    --( ('STOK KULLANIM'!$E$2:$E$100002=$B79) + ('STOK KULLANIM'!$E$2:$E$100002="") + ($B79="") &gt; 0 ) *
    ('STOK KULLANIM'!$A$2:$A$100002=MAX('STOK KULLANIM'!$A$2:$A$100002)) *
    'STOK KULLANIM'!$F$2:$F$100002
  ),
"")</f>
        <v>0</v>
      </c>
    </row>
    <row r="78" spans="4:7" x14ac:dyDescent="0.3">
      <c r="D78" s="9"/>
      <c r="E78" s="10" cm="1">
        <f t="array" ref="E78">IFERROR(
  $C80 -
  SUMPRODUCT(
    ('STOK KULLANIM'!$D$2:$D$100002=$A80) *
    ('STOK KULLANIM'!$G$2:$G$100002=$D80) *
    --( ('STOK KULLANIM'!$E$2:$E$100002=$B80) + ('STOK KULLANIM'!$E$2:$E$100002="") + ($B80="") &gt; 0 ) *
    ('STOK KULLANIM'!$A$2:$A$100002=MAX('STOK KULLANIM'!$A$2:$A$100002)) *
    'STOK KULLANIM'!$F$2:$F$100002
  ),
"")</f>
        <v>0</v>
      </c>
    </row>
    <row r="79" spans="4:7" x14ac:dyDescent="0.3">
      <c r="D79" s="9"/>
      <c r="E79" s="10" cm="1">
        <f t="array" ref="E79">IFERROR(
  $C81 -
  SUMPRODUCT(
    ('STOK KULLANIM'!$D$2:$D$100002=$A81) *
    ('STOK KULLANIM'!$G$2:$G$100002=$D81) *
    --( ('STOK KULLANIM'!$E$2:$E$100002=$B81) + ('STOK KULLANIM'!$E$2:$E$100002="") + ($B81="") &gt; 0 ) *
    ('STOK KULLANIM'!$A$2:$A$100002=MAX('STOK KULLANIM'!$A$2:$A$100002)) *
    'STOK KULLANIM'!$F$2:$F$100002
  ),
"")</f>
        <v>0</v>
      </c>
    </row>
    <row r="80" spans="4:7" x14ac:dyDescent="0.3">
      <c r="D80" s="9"/>
      <c r="E80" s="10" cm="1">
        <f t="array" ref="E80">IFERROR(
  $C82 -
  SUMPRODUCT(
    ('STOK KULLANIM'!$D$2:$D$100002=$A82) *
    ('STOK KULLANIM'!$G$2:$G$100002=$D82) *
    --( ('STOK KULLANIM'!$E$2:$E$100002=$B82) + ('STOK KULLANIM'!$E$2:$E$100002="") + ($B82="") &gt; 0 ) *
    ('STOK KULLANIM'!$A$2:$A$100002=MAX('STOK KULLANIM'!$A$2:$A$100002)) *
    'STOK KULLANIM'!$F$2:$F$100002
  ),
"")</f>
        <v>0</v>
      </c>
    </row>
    <row r="81" spans="4:5" x14ac:dyDescent="0.3">
      <c r="D81" s="9"/>
      <c r="E81" s="10" cm="1">
        <f t="array" ref="E81">IFERROR(
  $C83 -
  SUMPRODUCT(
    ('STOK KULLANIM'!$D$2:$D$100002=$A83) *
    ('STOK KULLANIM'!$G$2:$G$100002=$D83) *
    --( ('STOK KULLANIM'!$E$2:$E$100002=$B83) + ('STOK KULLANIM'!$E$2:$E$100002="") + ($B83="") &gt; 0 ) *
    ('STOK KULLANIM'!$A$2:$A$100002=MAX('STOK KULLANIM'!$A$2:$A$100002)) *
    'STOK KULLANIM'!$F$2:$F$100002
  ),
"")</f>
        <v>0</v>
      </c>
    </row>
    <row r="82" spans="4:5" x14ac:dyDescent="0.3">
      <c r="D82" s="9"/>
      <c r="E82" s="10" cm="1">
        <f t="array" ref="E82">IFERROR(
  $C84 -
  SUMPRODUCT(
    ('STOK KULLANIM'!$D$2:$D$100002=$A84) *
    ('STOK KULLANIM'!$G$2:$G$100002=$D84) *
    --( ('STOK KULLANIM'!$E$2:$E$100002=$B84) + ('STOK KULLANIM'!$E$2:$E$100002="") + ($B84="") &gt; 0 ) *
    ('STOK KULLANIM'!$A$2:$A$100002=MAX('STOK KULLANIM'!$A$2:$A$100002)) *
    'STOK KULLANIM'!$F$2:$F$100002
  ),
"")</f>
        <v>0</v>
      </c>
    </row>
    <row r="83" spans="4:5" x14ac:dyDescent="0.3">
      <c r="D83" s="9"/>
      <c r="E83" s="10" cm="1">
        <f t="array" ref="E83">IFERROR(
  $C85 -
  SUMPRODUCT(
    ('STOK KULLANIM'!$D$2:$D$100002=$A85) *
    ('STOK KULLANIM'!$G$2:$G$100002=$D85) *
    --( ('STOK KULLANIM'!$E$2:$E$100002=$B85) + ('STOK KULLANIM'!$E$2:$E$100002="") + ($B85="") &gt; 0 ) *
    ('STOK KULLANIM'!$A$2:$A$100002=MAX('STOK KULLANIM'!$A$2:$A$100002)) *
    'STOK KULLANIM'!$F$2:$F$100002
  ),
"")</f>
        <v>0</v>
      </c>
    </row>
    <row r="84" spans="4:5" x14ac:dyDescent="0.3">
      <c r="D84" s="9"/>
      <c r="E84" s="10" cm="1">
        <f t="array" ref="E84">IFERROR(
  $C86 -
  SUMPRODUCT(
    ('STOK KULLANIM'!$D$2:$D$100002=$A86) *
    ('STOK KULLANIM'!$G$2:$G$100002=$D86) *
    --( ('STOK KULLANIM'!$E$2:$E$100002=$B86) + ('STOK KULLANIM'!$E$2:$E$100002="") + ($B86="") &gt; 0 ) *
    ('STOK KULLANIM'!$A$2:$A$100002=MAX('STOK KULLANIM'!$A$2:$A$100002)) *
    'STOK KULLANIM'!$F$2:$F$100002
  ),
"")</f>
        <v>0</v>
      </c>
    </row>
    <row r="85" spans="4:5" x14ac:dyDescent="0.3">
      <c r="D85" s="9"/>
      <c r="E85" s="10" cm="1">
        <f t="array" ref="E85">IFERROR(
  $C87 -
  SUMPRODUCT(
    ('STOK KULLANIM'!$D$2:$D$100002=$A87) *
    ('STOK KULLANIM'!$G$2:$G$100002=$D87) *
    --( ('STOK KULLANIM'!$E$2:$E$100002=$B87) + ('STOK KULLANIM'!$E$2:$E$100002="") + ($B87="") &gt; 0 ) *
    ('STOK KULLANIM'!$A$2:$A$100002=MAX('STOK KULLANIM'!$A$2:$A$100002)) *
    'STOK KULLANIM'!$F$2:$F$100002
  ),
"")</f>
        <v>0</v>
      </c>
    </row>
    <row r="86" spans="4:5" x14ac:dyDescent="0.3">
      <c r="D86" s="9"/>
      <c r="E86" s="10" cm="1">
        <f t="array" ref="E86">IFERROR(
  $C88 -
  SUMPRODUCT(
    ('STOK KULLANIM'!$D$2:$D$100002=$A88) *
    ('STOK KULLANIM'!$G$2:$G$100002=$D88) *
    --( ('STOK KULLANIM'!$E$2:$E$100002=$B88) + ('STOK KULLANIM'!$E$2:$E$100002="") + ($B88="") &gt; 0 ) *
    ('STOK KULLANIM'!$A$2:$A$100002=MAX('STOK KULLANIM'!$A$2:$A$100002)) *
    'STOK KULLANIM'!$F$2:$F$100002
  ),
"")</f>
        <v>0</v>
      </c>
    </row>
    <row r="87" spans="4:5" x14ac:dyDescent="0.3">
      <c r="D87" s="9"/>
      <c r="E87" s="10" cm="1">
        <f t="array" ref="E87">IFERROR(
  $C89 -
  SUMPRODUCT(
    ('STOK KULLANIM'!$D$2:$D$100002=$A89) *
    ('STOK KULLANIM'!$G$2:$G$100002=$D89) *
    --( ('STOK KULLANIM'!$E$2:$E$100002=$B89) + ('STOK KULLANIM'!$E$2:$E$100002="") + ($B89="") &gt; 0 ) *
    ('STOK KULLANIM'!$A$2:$A$100002=MAX('STOK KULLANIM'!$A$2:$A$100002)) *
    'STOK KULLANIM'!$F$2:$F$100002
  ),
"")</f>
        <v>0</v>
      </c>
    </row>
    <row r="88" spans="4:5" x14ac:dyDescent="0.3">
      <c r="D88" s="9"/>
      <c r="E88" s="10" cm="1">
        <f t="array" ref="E88">IFERROR(
  $C90 -
  SUMPRODUCT(
    ('STOK KULLANIM'!$D$2:$D$100002=$A90) *
    ('STOK KULLANIM'!$G$2:$G$100002=$D90) *
    --( ('STOK KULLANIM'!$E$2:$E$100002=$B90) + ('STOK KULLANIM'!$E$2:$E$100002="") + ($B90="") &gt; 0 ) *
    ('STOK KULLANIM'!$A$2:$A$100002=MAX('STOK KULLANIM'!$A$2:$A$100002)) *
    'STOK KULLANIM'!$F$2:$F$100002
  ),
"")</f>
        <v>0</v>
      </c>
    </row>
    <row r="89" spans="4:5" x14ac:dyDescent="0.3">
      <c r="D89" s="9"/>
      <c r="E89" s="10" cm="1">
        <f t="array" ref="E89">IFERROR(
  $C91 -
  SUMPRODUCT(
    ('STOK KULLANIM'!$D$2:$D$100002=$A91) *
    ('STOK KULLANIM'!$G$2:$G$100002=$D91) *
    --( ('STOK KULLANIM'!$E$2:$E$100002=$B91) + ('STOK KULLANIM'!$E$2:$E$100002="") + ($B91="") &gt; 0 ) *
    ('STOK KULLANIM'!$A$2:$A$100002=MAX('STOK KULLANIM'!$A$2:$A$100002)) *
    'STOK KULLANIM'!$F$2:$F$100002
  ),
"")</f>
        <v>0</v>
      </c>
    </row>
    <row r="90" spans="4:5" x14ac:dyDescent="0.3">
      <c r="D90" s="9"/>
      <c r="E90" s="10" cm="1">
        <f t="array" ref="E90">IFERROR(
  $C92 -
  SUMPRODUCT(
    ('STOK KULLANIM'!$D$2:$D$100002=$A92) *
    ('STOK KULLANIM'!$G$2:$G$100002=$D92) *
    --( ('STOK KULLANIM'!$E$2:$E$100002=$B92) + ('STOK KULLANIM'!$E$2:$E$100002="") + ($B92="") &gt; 0 ) *
    ('STOK KULLANIM'!$A$2:$A$100002=MAX('STOK KULLANIM'!$A$2:$A$100002)) *
    'STOK KULLANIM'!$F$2:$F$100002
  ),
"")</f>
        <v>0</v>
      </c>
    </row>
    <row r="91" spans="4:5" x14ac:dyDescent="0.3">
      <c r="D91" s="9"/>
      <c r="E91" s="10" cm="1">
        <f t="array" ref="E91">IFERROR(
  $C93 -
  SUMPRODUCT(
    ('STOK KULLANIM'!$D$2:$D$100002=$A93) *
    ('STOK KULLANIM'!$G$2:$G$100002=$D93) *
    --( ('STOK KULLANIM'!$E$2:$E$100002=$B93) + ('STOK KULLANIM'!$E$2:$E$100002="") + ($B93="") &gt; 0 ) *
    ('STOK KULLANIM'!$A$2:$A$100002=MAX('STOK KULLANIM'!$A$2:$A$100002)) *
    'STOK KULLANIM'!$F$2:$F$100002
  ),
"")</f>
        <v>0</v>
      </c>
    </row>
    <row r="92" spans="4:5" x14ac:dyDescent="0.3">
      <c r="D92" s="9"/>
      <c r="E92" s="10" cm="1">
        <f t="array" ref="E92">IFERROR(
  $C94 -
  SUMPRODUCT(
    ('STOK KULLANIM'!$D$2:$D$100002=$A94) *
    ('STOK KULLANIM'!$G$2:$G$100002=$D94) *
    --( ('STOK KULLANIM'!$E$2:$E$100002=$B94) + ('STOK KULLANIM'!$E$2:$E$100002="") + ($B94="") &gt; 0 ) *
    ('STOK KULLANIM'!$A$2:$A$100002=MAX('STOK KULLANIM'!$A$2:$A$100002)) *
    'STOK KULLANIM'!$F$2:$F$100002
  ),
"")</f>
        <v>0</v>
      </c>
    </row>
    <row r="93" spans="4:5" x14ac:dyDescent="0.3">
      <c r="D93" s="9"/>
      <c r="E93" s="10" cm="1">
        <f t="array" ref="E93">IFERROR(
  $C95 -
  SUMPRODUCT(
    ('STOK KULLANIM'!$D$2:$D$100002=$A95) *
    ('STOK KULLANIM'!$G$2:$G$100002=$D95) *
    --( ('STOK KULLANIM'!$E$2:$E$100002=$B95) + ('STOK KULLANIM'!$E$2:$E$100002="") + ($B95="") &gt; 0 ) *
    ('STOK KULLANIM'!$A$2:$A$100002=MAX('STOK KULLANIM'!$A$2:$A$100002)) *
    'STOK KULLANIM'!$F$2:$F$100002
  ),
"")</f>
        <v>0</v>
      </c>
    </row>
    <row r="94" spans="4:5" x14ac:dyDescent="0.3">
      <c r="D94" s="9"/>
    </row>
    <row r="95" spans="4:5" x14ac:dyDescent="0.3">
      <c r="D95" s="9"/>
    </row>
    <row r="96" spans="4:5" x14ac:dyDescent="0.3">
      <c r="D96" s="9"/>
    </row>
    <row r="97" spans="4:4" x14ac:dyDescent="0.3">
      <c r="D97" s="9"/>
    </row>
    <row r="98" spans="4:4" x14ac:dyDescent="0.3">
      <c r="D98" s="9"/>
    </row>
    <row r="99" spans="4:4" x14ac:dyDescent="0.3">
      <c r="D99" s="9"/>
    </row>
    <row r="100" spans="4:4" x14ac:dyDescent="0.3">
      <c r="D100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66DF-6B70-4DDA-9960-A84B10803723}">
  <dimension ref="A1:E56"/>
  <sheetViews>
    <sheetView topLeftCell="A10" workbookViewId="0">
      <selection activeCell="D29" sqref="D29"/>
    </sheetView>
  </sheetViews>
  <sheetFormatPr defaultRowHeight="14.4" x14ac:dyDescent="0.3"/>
  <cols>
    <col min="1" max="1" width="16.109375" style="27" customWidth="1"/>
    <col min="2" max="2" width="9.109375" customWidth="1"/>
    <col min="4" max="4" width="11.21875" customWidth="1"/>
    <col min="5" max="5" width="13.5546875" customWidth="1"/>
  </cols>
  <sheetData>
    <row r="1" spans="1:5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</row>
    <row r="2" spans="1:5" x14ac:dyDescent="0.3">
      <c r="A2" s="25" t="s">
        <v>208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</row>
    <row r="3" spans="1:5" x14ac:dyDescent="0.3">
      <c r="A3" s="25" t="s">
        <v>61</v>
      </c>
      <c r="B3" s="2" t="s">
        <v>52</v>
      </c>
      <c r="C3">
        <v>47</v>
      </c>
      <c r="D3">
        <v>12000</v>
      </c>
      <c r="E3" cm="1">
        <f t="array" ref="E3">IFERROR(
  $C3*1 -
  SUMPRODUCT(
    --IFERROR('STOK KULLANIM'!$D$2:$D$100002=$A3,0),
    --IFERROR('STOK KULLANIM'!$I$2:$I$100002=$D3,0),
    --( IFERROR('STOK KULLANIM'!$E$2:$E$100002=$B3,0) + IFERROR('STOK KULLANIM'!$E$2:$E$100002="",0) + ($B3="") &gt; 0 ),
    IFERROR('STOK KULLANIM'!$H$2:$H$100002,0)*1
  ),
  $C3*1
)</f>
        <v>47</v>
      </c>
    </row>
    <row r="4" spans="1:5" x14ac:dyDescent="0.3">
      <c r="A4" s="25" t="s">
        <v>62</v>
      </c>
      <c r="B4" s="2"/>
      <c r="E4" cm="1">
        <f t="array" ref="E4">IFERROR(
  $C4*1 -
  SUMPRODUCT(
    --IFERROR('STOK KULLANIM'!$D$2:$D$100002=$A4,0),
    --IFERROR('STOK KULLANIM'!$I$2:$I$100002=$D4,0),
    --( IFERROR('STOK KULLANIM'!$E$2:$E$100002=$B4,0) + IFERROR('STOK KULLANIM'!$E$2:$E$100002="",0) + ($B4="") &gt; 0 ),
    IFERROR('STOK KULLANIM'!$H$2:$H$100002,0)*1
  ),
  $C4*1
)</f>
        <v>0</v>
      </c>
    </row>
    <row r="5" spans="1:5" x14ac:dyDescent="0.3">
      <c r="A5" s="25" t="s">
        <v>62</v>
      </c>
      <c r="B5" s="2"/>
      <c r="E5" cm="1">
        <f t="array" ref="E5">IFERROR(
  $C5*1 -
  SUMPRODUCT(
    --IFERROR('STOK KULLANIM'!$D$2:$D$100002=$A5,0),
    --IFERROR('STOK KULLANIM'!$I$2:$I$100002=$D5,0),
    --( IFERROR('STOK KULLANIM'!$E$2:$E$100002=$B5,0) + IFERROR('STOK KULLANIM'!$E$2:$E$100002="",0) + ($B5="") &gt; 0 ),
    IFERROR('STOK KULLANIM'!$H$2:$H$100002,0)*1
  ),
  $C5*1
)</f>
        <v>0</v>
      </c>
    </row>
    <row r="6" spans="1:5" x14ac:dyDescent="0.3">
      <c r="A6" s="25" t="s">
        <v>63</v>
      </c>
      <c r="B6" s="2"/>
      <c r="E6" cm="1">
        <f t="array" ref="E6">IFERROR(
  $C6*1 -
  SUMPRODUCT(
    --IFERROR('STOK KULLANIM'!$D$2:$D$100002=$A6,0),
    --IFERROR('STOK KULLANIM'!$I$2:$I$100002=$D6,0),
    --( IFERROR('STOK KULLANIM'!$E$2:$E$100002=$B6,0) + IFERROR('STOK KULLANIM'!$E$2:$E$100002="",0) + ($B6="") &gt; 0 ),
    IFERROR('STOK KULLANIM'!$H$2:$H$100002,0)*1
  ),
  $C6*1
)</f>
        <v>0</v>
      </c>
    </row>
    <row r="7" spans="1:5" x14ac:dyDescent="0.3">
      <c r="A7" s="25" t="s">
        <v>64</v>
      </c>
      <c r="B7" s="2"/>
      <c r="E7" cm="1">
        <f t="array" ref="E7">IFERROR(
  $C7*1 -
  SUMPRODUCT(
    --IFERROR('STOK KULLANIM'!$D$2:$D$100002=$A7,0),
    --IFERROR('STOK KULLANIM'!$I$2:$I$100002=$D7,0),
    --( IFERROR('STOK KULLANIM'!$E$2:$E$100002=$B7,0) + IFERROR('STOK KULLANIM'!$E$2:$E$100002="",0) + ($B7="") &gt; 0 ),
    IFERROR('STOK KULLANIM'!$H$2:$H$100002,0)*1
  ),
  $C7*1
)</f>
        <v>0</v>
      </c>
    </row>
    <row r="8" spans="1:5" x14ac:dyDescent="0.3">
      <c r="A8" s="25" t="s">
        <v>65</v>
      </c>
      <c r="B8" s="2"/>
      <c r="E8" cm="1">
        <f t="array" ref="E8">IFERROR(
  $C8*1 -
  SUMPRODUCT(
    --IFERROR('STOK KULLANIM'!$D$2:$D$100002=$A8,0),
    --IFERROR('STOK KULLANIM'!$I$2:$I$100002=$D8,0),
    --( IFERROR('STOK KULLANIM'!$E$2:$E$100002=$B8,0) + IFERROR('STOK KULLANIM'!$E$2:$E$100002="",0) + ($B8="") &gt; 0 ),
    IFERROR('STOK KULLANIM'!$H$2:$H$100002,0)*1
  ),
  $C8*1
)</f>
        <v>0</v>
      </c>
    </row>
    <row r="9" spans="1:5" x14ac:dyDescent="0.3">
      <c r="A9" s="25" t="s">
        <v>65</v>
      </c>
      <c r="B9" s="2"/>
      <c r="E9" cm="1">
        <f t="array" ref="E9">IFERROR(
  $C9*1 -
  SUMPRODUCT(
    --IFERROR('STOK KULLANIM'!$D$2:$D$100002=$A9,0),
    --IFERROR('STOK KULLANIM'!$I$2:$I$100002=$D9,0),
    --( IFERROR('STOK KULLANIM'!$E$2:$E$100002=$B9,0) + IFERROR('STOK KULLANIM'!$E$2:$E$100002="",0) + ($B9="") &gt; 0 ),
    IFERROR('STOK KULLANIM'!$H$2:$H$100002,0)*1
  ),
  $C9*1
)</f>
        <v>0</v>
      </c>
    </row>
    <row r="10" spans="1:5" x14ac:dyDescent="0.3">
      <c r="A10" s="25" t="s">
        <v>66</v>
      </c>
      <c r="B10" s="2"/>
      <c r="E10" cm="1">
        <f t="array" ref="E10">IFERROR(
  $C10*1 -
  SUMPRODUCT(
    --IFERROR('STOK KULLANIM'!$D$2:$D$100002=$A10,0),
    --IFERROR('STOK KULLANIM'!$I$2:$I$100002=$D10,0),
    --( IFERROR('STOK KULLANIM'!$E$2:$E$100002=$B10,0) + IFERROR('STOK KULLANIM'!$E$2:$E$100002="",0) + ($B10="") &gt; 0 ),
    IFERROR('STOK KULLANIM'!$H$2:$H$100002,0)*1
  ),
  $C10*1
)</f>
        <v>0</v>
      </c>
    </row>
    <row r="11" spans="1:5" x14ac:dyDescent="0.3">
      <c r="A11" s="25" t="s">
        <v>67</v>
      </c>
      <c r="B11" s="2"/>
      <c r="E11" cm="1">
        <f t="array" ref="E11">IFERROR(
  $C11*1 -
  SUMPRODUCT(
    --IFERROR('STOK KULLANIM'!$D$2:$D$100002=$A11,0),
    --IFERROR('STOK KULLANIM'!$I$2:$I$100002=$D11,0),
    --( IFERROR('STOK KULLANIM'!$E$2:$E$100002=$B11,0) + IFERROR('STOK KULLANIM'!$E$2:$E$100002="",0) + ($B11="") &gt; 0 ),
    IFERROR('STOK KULLANIM'!$H$2:$H$100002,0)*1
  ),
  $C11*1
)</f>
        <v>0</v>
      </c>
    </row>
    <row r="12" spans="1:5" x14ac:dyDescent="0.3">
      <c r="A12" s="25" t="s">
        <v>68</v>
      </c>
      <c r="B12" s="2"/>
      <c r="E12" cm="1">
        <f t="array" ref="E12">IFERROR(
  $C12*1 -
  SUMPRODUCT(
    --IFERROR('STOK KULLANIM'!$D$2:$D$100002=$A12,0),
    --IFERROR('STOK KULLANIM'!$I$2:$I$100002=$D12,0),
    --( IFERROR('STOK KULLANIM'!$E$2:$E$100002=$B12,0) + IFERROR('STOK KULLANIM'!$E$2:$E$100002="",0) + ($B12="") &gt; 0 ),
    IFERROR('STOK KULLANIM'!$H$2:$H$100002,0)*1
  ),
  $C12*1
)</f>
        <v>0</v>
      </c>
    </row>
    <row r="13" spans="1:5" x14ac:dyDescent="0.3">
      <c r="A13" s="25" t="s">
        <v>68</v>
      </c>
      <c r="B13" s="2"/>
      <c r="E13" cm="1">
        <f t="array" ref="E13">IFERROR(
  $C13*1 -
  SUMPRODUCT(
    --IFERROR('STOK KULLANIM'!$D$2:$D$100002=$A13,0),
    --IFERROR('STOK KULLANIM'!$I$2:$I$100002=$D13,0),
    --( IFERROR('STOK KULLANIM'!$E$2:$E$100002=$B13,0) + IFERROR('STOK KULLANIM'!$E$2:$E$100002="",0) + ($B13="") &gt; 0 ),
    IFERROR('STOK KULLANIM'!$H$2:$H$100002,0)*1
  ),
  $C13*1
)</f>
        <v>0</v>
      </c>
    </row>
    <row r="14" spans="1:5" x14ac:dyDescent="0.3">
      <c r="A14" s="25" t="s">
        <v>69</v>
      </c>
      <c r="B14" s="2"/>
      <c r="E14" cm="1">
        <f t="array" ref="E14">IFERROR(
  $C14*1 -
  SUMPRODUCT(
    --IFERROR('STOK KULLANIM'!$D$2:$D$100002=$A14,0),
    --IFERROR('STOK KULLANIM'!$I$2:$I$100002=$D14,0),
    --( IFERROR('STOK KULLANIM'!$E$2:$E$100002=$B14,0) + IFERROR('STOK KULLANIM'!$E$2:$E$100002="",0) + ($B14="") &gt; 0 ),
    IFERROR('STOK KULLANIM'!$H$2:$H$100002,0)*1
  ),
  $C14*1
)</f>
        <v>0</v>
      </c>
    </row>
    <row r="15" spans="1:5" x14ac:dyDescent="0.3">
      <c r="A15" s="25" t="s">
        <v>70</v>
      </c>
      <c r="B15" s="2"/>
      <c r="E15" cm="1">
        <f t="array" ref="E15">IFERROR(
  $C15*1 -
  SUMPRODUCT(
    --IFERROR('STOK KULLANIM'!$D$2:$D$100002=$A15,0),
    --IFERROR('STOK KULLANIM'!$I$2:$I$100002=$D15,0),
    --( IFERROR('STOK KULLANIM'!$E$2:$E$100002=$B15,0) + IFERROR('STOK KULLANIM'!$E$2:$E$100002="",0) + ($B15="") &gt; 0 ),
    IFERROR('STOK KULLANIM'!$H$2:$H$100002,0)*1
  ),
  $C15*1
)</f>
        <v>0</v>
      </c>
    </row>
    <row r="16" spans="1:5" x14ac:dyDescent="0.3">
      <c r="A16" s="25" t="s">
        <v>71</v>
      </c>
      <c r="B16" s="2"/>
      <c r="E16" cm="1">
        <f t="array" ref="E16">IFERROR(
  $C16*1 -
  SUMPRODUCT(
    --IFERROR('STOK KULLANIM'!$D$2:$D$100002=$A16,0),
    --IFERROR('STOK KULLANIM'!$I$2:$I$100002=$D16,0),
    --( IFERROR('STOK KULLANIM'!$E$2:$E$100002=$B16,0) + IFERROR('STOK KULLANIM'!$E$2:$E$100002="",0) + ($B16="") &gt; 0 ),
    IFERROR('STOK KULLANIM'!$H$2:$H$100002,0)*1
  ),
  $C16*1
)</f>
        <v>0</v>
      </c>
    </row>
    <row r="17" spans="1:5" x14ac:dyDescent="0.3">
      <c r="A17" s="25" t="s">
        <v>72</v>
      </c>
      <c r="B17" s="2" t="s">
        <v>52</v>
      </c>
      <c r="C17">
        <v>108</v>
      </c>
      <c r="D17">
        <v>6000</v>
      </c>
      <c r="E17" cm="1">
        <f t="array" ref="E17">IFERROR(
  $C17*1 -
  SUMPRODUCT(
    --IFERROR('STOK KULLANIM'!$D$2:$D$100002=$A17,0),
    --IFERROR('STOK KULLANIM'!$I$2:$I$100002=$D17,0),
    --( IFERROR('STOK KULLANIM'!$E$2:$E$100002=$B17,0) + IFERROR('STOK KULLANIM'!$E$2:$E$100002="",0) + ($B17="") &gt; 0 ),
    IFERROR('STOK KULLANIM'!$H$2:$H$100002,0)*1
  ),
  $C17*1
)</f>
        <v>108</v>
      </c>
    </row>
    <row r="18" spans="1:5" x14ac:dyDescent="0.3">
      <c r="A18" s="25" t="s">
        <v>72</v>
      </c>
      <c r="B18" s="2"/>
      <c r="E18" cm="1">
        <f t="array" ref="E18">IFERROR(
  $C18*1 -
  SUMPRODUCT(
    --IFERROR('STOK KULLANIM'!$D$2:$D$100002=$A18,0),
    --IFERROR('STOK KULLANIM'!$I$2:$I$100002=$D18,0),
    --( IFERROR('STOK KULLANIM'!$E$2:$E$100002=$B18,0) + IFERROR('STOK KULLANIM'!$E$2:$E$100002="",0) + ($B18="") &gt; 0 ),
    IFERROR('STOK KULLANIM'!$H$2:$H$100002,0)*1
  ),
  $C18*1
)</f>
        <v>0</v>
      </c>
    </row>
    <row r="19" spans="1:5" x14ac:dyDescent="0.3">
      <c r="A19" s="25" t="s">
        <v>73</v>
      </c>
      <c r="B19" s="2"/>
      <c r="E19" cm="1">
        <f t="array" ref="E19">IFERROR(
  $C19*1 -
  SUMPRODUCT(
    --IFERROR('STOK KULLANIM'!$D$2:$D$100002=$A19,0),
    --IFERROR('STOK KULLANIM'!$I$2:$I$100002=$D19,0),
    --( IFERROR('STOK KULLANIM'!$E$2:$E$100002=$B19,0) + IFERROR('STOK KULLANIM'!$E$2:$E$100002="",0) + ($B19="") &gt; 0 ),
    IFERROR('STOK KULLANIM'!$H$2:$H$100002,0)*1
  ),
  $C19*1
)</f>
        <v>0</v>
      </c>
    </row>
    <row r="20" spans="1:5" x14ac:dyDescent="0.3">
      <c r="A20" s="25" t="s">
        <v>73</v>
      </c>
      <c r="B20" s="2"/>
      <c r="E20" cm="1">
        <f t="array" ref="E20">IFERROR(
  $C20*1 -
  SUMPRODUCT(
    --IFERROR('STOK KULLANIM'!$D$2:$D$100002=$A20,0),
    --IFERROR('STOK KULLANIM'!$I$2:$I$100002=$D20,0),
    --( IFERROR('STOK KULLANIM'!$E$2:$E$100002=$B20,0) + IFERROR('STOK KULLANIM'!$E$2:$E$100002="",0) + ($B20="") &gt; 0 ),
    IFERROR('STOK KULLANIM'!$H$2:$H$100002,0)*1
  ),
  $C20*1
)</f>
        <v>0</v>
      </c>
    </row>
    <row r="21" spans="1:5" x14ac:dyDescent="0.3">
      <c r="A21" s="25" t="s">
        <v>73</v>
      </c>
      <c r="B21" s="2"/>
      <c r="E21" cm="1">
        <f t="array" ref="E21">IFERROR(
  $C21*1 -
  SUMPRODUCT(
    --IFERROR('STOK KULLANIM'!$D$2:$D$100002=$A21,0),
    --IFERROR('STOK KULLANIM'!$I$2:$I$100002=$D21,0),
    --( IFERROR('STOK KULLANIM'!$E$2:$E$100002=$B21,0) + IFERROR('STOK KULLANIM'!$E$2:$E$100002="",0) + ($B21="") &gt; 0 ),
    IFERROR('STOK KULLANIM'!$H$2:$H$100002,0)*1
  ),
  $C21*1
)</f>
        <v>0</v>
      </c>
    </row>
    <row r="22" spans="1:5" x14ac:dyDescent="0.3">
      <c r="A22" s="25" t="s">
        <v>74</v>
      </c>
      <c r="B22" s="2"/>
      <c r="E22" cm="1">
        <f t="array" ref="E22">IFERROR(
  $C22*1 -
  SUMPRODUCT(
    --IFERROR('STOK KULLANIM'!$D$2:$D$100002=$A22,0),
    --IFERROR('STOK KULLANIM'!$I$2:$I$100002=$D22,0),
    --( IFERROR('STOK KULLANIM'!$E$2:$E$100002=$B22,0) + IFERROR('STOK KULLANIM'!$E$2:$E$100002="",0) + ($B22="") &gt; 0 ),
    IFERROR('STOK KULLANIM'!$H$2:$H$100002,0)*1
  ),
  $C22*1
)</f>
        <v>0</v>
      </c>
    </row>
    <row r="23" spans="1:5" x14ac:dyDescent="0.3">
      <c r="A23" s="25" t="s">
        <v>75</v>
      </c>
      <c r="B23" s="2"/>
      <c r="E23" cm="1">
        <f t="array" ref="E23">IFERROR(
  $C23*1 -
  SUMPRODUCT(
    --IFERROR('STOK KULLANIM'!$D$2:$D$100002=$A23,0),
    --IFERROR('STOK KULLANIM'!$I$2:$I$100002=$D23,0),
    --( IFERROR('STOK KULLANIM'!$E$2:$E$100002=$B23,0) + IFERROR('STOK KULLANIM'!$E$2:$E$100002="",0) + ($B23="") &gt; 0 ),
    IFERROR('STOK KULLANIM'!$H$2:$H$100002,0)*1
  ),
  $C23*1
)</f>
        <v>0</v>
      </c>
    </row>
    <row r="24" spans="1:5" x14ac:dyDescent="0.3">
      <c r="A24" s="25" t="s">
        <v>76</v>
      </c>
      <c r="B24" s="2"/>
      <c r="E24" cm="1">
        <f t="array" ref="E24">IFERROR(
  $C24*1 -
  SUMPRODUCT(
    --IFERROR('STOK KULLANIM'!$D$2:$D$100002=$A24,0),
    --IFERROR('STOK KULLANIM'!$I$2:$I$100002=$D24,0),
    --( IFERROR('STOK KULLANIM'!$E$2:$E$100002=$B24,0) + IFERROR('STOK KULLANIM'!$E$2:$E$100002="",0) + ($B24="") &gt; 0 ),
    IFERROR('STOK KULLANIM'!$H$2:$H$100002,0)*1
  ),
  $C24*1
)</f>
        <v>0</v>
      </c>
    </row>
    <row r="25" spans="1:5" x14ac:dyDescent="0.3">
      <c r="A25" s="25" t="s">
        <v>77</v>
      </c>
      <c r="B25" s="2"/>
      <c r="E25" cm="1">
        <f t="array" ref="E25">IFERROR(
  $C25*1 -
  SUMPRODUCT(
    --IFERROR('STOK KULLANIM'!$D$2:$D$100002=$A25,0),
    --IFERROR('STOK KULLANIM'!$I$2:$I$100002=$D25,0),
    --( IFERROR('STOK KULLANIM'!$E$2:$E$100002=$B25,0) + IFERROR('STOK KULLANIM'!$E$2:$E$100002="",0) + ($B25="") &gt; 0 ),
    IFERROR('STOK KULLANIM'!$H$2:$H$100002,0)*1
  ),
  $C25*1
)</f>
        <v>0</v>
      </c>
    </row>
    <row r="26" spans="1:5" x14ac:dyDescent="0.3">
      <c r="A26" s="25" t="s">
        <v>78</v>
      </c>
      <c r="B26" s="2"/>
      <c r="E26" cm="1">
        <f t="array" ref="E26">IFERROR(
  $C26*1 -
  SUMPRODUCT(
    --IFERROR('STOK KULLANIM'!$D$2:$D$100002=$A26,0),
    --IFERROR('STOK KULLANIM'!$I$2:$I$100002=$D26,0),
    --( IFERROR('STOK KULLANIM'!$E$2:$E$100002=$B26,0) + IFERROR('STOK KULLANIM'!$E$2:$E$100002="",0) + ($B26="") &gt; 0 ),
    IFERROR('STOK KULLANIM'!$H$2:$H$100002,0)*1
  ),
  $C26*1
)</f>
        <v>0</v>
      </c>
    </row>
    <row r="27" spans="1:5" x14ac:dyDescent="0.3">
      <c r="A27" s="25" t="s">
        <v>79</v>
      </c>
      <c r="B27" s="2"/>
      <c r="E27" cm="1">
        <f t="array" ref="E27">IFERROR(
  $C27*1 -
  SUMPRODUCT(
    --IFERROR('STOK KULLANIM'!$D$2:$D$100002=$A27,0),
    --IFERROR('STOK KULLANIM'!$I$2:$I$100002=$D27,0),
    --( IFERROR('STOK KULLANIM'!$E$2:$E$100002=$B27,0) + IFERROR('STOK KULLANIM'!$E$2:$E$100002="",0) + ($B27="") &gt; 0 ),
    IFERROR('STOK KULLANIM'!$H$2:$H$100002,0)*1
  ),
  $C27*1
)</f>
        <v>0</v>
      </c>
    </row>
    <row r="28" spans="1:5" x14ac:dyDescent="0.3">
      <c r="A28" s="25" t="s">
        <v>80</v>
      </c>
      <c r="B28" s="2" t="s">
        <v>55</v>
      </c>
      <c r="C28">
        <v>185</v>
      </c>
      <c r="D28">
        <v>6000</v>
      </c>
      <c r="E28" cm="1">
        <f t="array" ref="E28">IFERROR(
  $C28*1 -
  SUMPRODUCT(
    --IFERROR('STOK KULLANIM'!$D$2:$D$100002=$A28,0),
    --IFERROR('STOK KULLANIM'!$I$2:$I$100002=$D28,0),
    --( IFERROR('STOK KULLANIM'!$E$2:$E$100002=$B28,0) + IFERROR('STOK KULLANIM'!$E$2:$E$100002="",0) + ($B28="") &gt; 0 ),
    IFERROR('STOK KULLANIM'!$H$2:$H$100002,0)*1
  ),
  $C28*1
)</f>
        <v>183</v>
      </c>
    </row>
    <row r="29" spans="1:5" x14ac:dyDescent="0.3">
      <c r="A29" s="25" t="s">
        <v>81</v>
      </c>
      <c r="B29" s="2"/>
      <c r="E29" cm="1">
        <f t="array" ref="E29">IFERROR(
  $C29*1 -
  SUMPRODUCT(
    --IFERROR('STOK KULLANIM'!$D$2:$D$100002=$A29,0),
    --IFERROR('STOK KULLANIM'!$I$2:$I$100002=$D29,0),
    --( IFERROR('STOK KULLANIM'!$E$2:$E$100002=$B29,0) + IFERROR('STOK KULLANIM'!$E$2:$E$100002="",0) + ($B29="") &gt; 0 ),
    IFERROR('STOK KULLANIM'!$H$2:$H$100002,0)*1
  ),
  $C29*1
)</f>
        <v>0</v>
      </c>
    </row>
    <row r="30" spans="1:5" x14ac:dyDescent="0.3">
      <c r="A30" s="25" t="s">
        <v>82</v>
      </c>
      <c r="B30" s="2"/>
      <c r="E30" cm="1">
        <f t="array" ref="E30">IFERROR(
  $C30*1 -
  SUMPRODUCT(
    --IFERROR('STOK KULLANIM'!$D$2:$D$100002=$A30,0),
    --IFERROR('STOK KULLANIM'!$I$2:$I$100002=$D30,0),
    --( IFERROR('STOK KULLANIM'!$E$2:$E$100002=$B30,0) + IFERROR('STOK KULLANIM'!$E$2:$E$100002="",0) + ($B30="") &gt; 0 ),
    IFERROR('STOK KULLANIM'!$H$2:$H$100002,0)*1
  ),
  $C30*1
)</f>
        <v>0</v>
      </c>
    </row>
    <row r="31" spans="1:5" x14ac:dyDescent="0.3">
      <c r="A31" s="25" t="s">
        <v>83</v>
      </c>
      <c r="B31" s="2"/>
      <c r="E31" cm="1">
        <f t="array" ref="E31">IFERROR(
  $C31*1 -
  SUMPRODUCT(
    --IFERROR('STOK KULLANIM'!$D$2:$D$100002=$A31,0),
    --IFERROR('STOK KULLANIM'!$I$2:$I$100002=$D31,0),
    --( IFERROR('STOK KULLANIM'!$E$2:$E$100002=$B31,0) + IFERROR('STOK KULLANIM'!$E$2:$E$100002="",0) + ($B31="") &gt; 0 ),
    IFERROR('STOK KULLANIM'!$H$2:$H$100002,0)*1
  ),
  $C31*1
)</f>
        <v>0</v>
      </c>
    </row>
    <row r="32" spans="1:5" x14ac:dyDescent="0.3">
      <c r="A32" s="25" t="s">
        <v>84</v>
      </c>
      <c r="B32" s="2"/>
      <c r="E32" cm="1">
        <f t="array" ref="E32">IFERROR(
  $C32*1 -
  SUMPRODUCT(
    --IFERROR('STOK KULLANIM'!$D$2:$D$100002=$A32,0),
    --IFERROR('STOK KULLANIM'!$I$2:$I$100002=$D32,0),
    --( IFERROR('STOK KULLANIM'!$E$2:$E$100002=$B32,0) + IFERROR('STOK KULLANIM'!$E$2:$E$100002="",0) + ($B32="") &gt; 0 ),
    IFERROR('STOK KULLANIM'!$H$2:$H$100002,0)*1
  ),
  $C32*1
)</f>
        <v>0</v>
      </c>
    </row>
    <row r="33" spans="1:5" x14ac:dyDescent="0.3">
      <c r="A33" s="25" t="s">
        <v>85</v>
      </c>
      <c r="B33" s="2"/>
      <c r="E33" cm="1">
        <f t="array" ref="E33">IFERROR(
  $C33*1 -
  SUMPRODUCT(
    --IFERROR('STOK KULLANIM'!$D$2:$D$100002=$A33,0),
    --IFERROR('STOK KULLANIM'!$I$2:$I$100002=$D33,0),
    --( IFERROR('STOK KULLANIM'!$E$2:$E$100002=$B33,0) + IFERROR('STOK KULLANIM'!$E$2:$E$100002="",0) + ($B33="") &gt; 0 ),
    IFERROR('STOK KULLANIM'!$H$2:$H$100002,0)*1
  ),
  $C33*1
)</f>
        <v>0</v>
      </c>
    </row>
    <row r="34" spans="1:5" x14ac:dyDescent="0.3">
      <c r="A34" s="25" t="s">
        <v>86</v>
      </c>
      <c r="B34" s="2"/>
      <c r="E34" cm="1">
        <f t="array" ref="E34">IFERROR(
  $C34*1 -
  SUMPRODUCT(
    --IFERROR('STOK KULLANIM'!$D$2:$D$100002=$A34,0),
    --IFERROR('STOK KULLANIM'!$I$2:$I$100002=$D34,0),
    --( IFERROR('STOK KULLANIM'!$E$2:$E$100002=$B34,0) + IFERROR('STOK KULLANIM'!$E$2:$E$100002="",0) + ($B34="") &gt; 0 ),
    IFERROR('STOK KULLANIM'!$H$2:$H$100002,0)*1
  ),
  $C34*1
)</f>
        <v>0</v>
      </c>
    </row>
    <row r="35" spans="1:5" x14ac:dyDescent="0.3">
      <c r="A35" s="25" t="s">
        <v>86</v>
      </c>
      <c r="B35" s="2"/>
      <c r="E35" cm="1">
        <f t="array" ref="E35">IFERROR(
  $C35*1 -
  SUMPRODUCT(
    --IFERROR('STOK KULLANIM'!$D$2:$D$100002=$A35,0),
    --IFERROR('STOK KULLANIM'!$I$2:$I$100002=$D35,0),
    --( IFERROR('STOK KULLANIM'!$E$2:$E$100002=$B35,0) + IFERROR('STOK KULLANIM'!$E$2:$E$100002="",0) + ($B35="") &gt; 0 ),
    IFERROR('STOK KULLANIM'!$H$2:$H$100002,0)*1
  ),
  $C35*1
)</f>
        <v>0</v>
      </c>
    </row>
    <row r="36" spans="1:5" x14ac:dyDescent="0.3">
      <c r="A36" s="25" t="s">
        <v>87</v>
      </c>
      <c r="B36" s="2"/>
      <c r="E36" cm="1">
        <f t="array" ref="E36">IFERROR(
  $C36*1 -
  SUMPRODUCT(
    --IFERROR('STOK KULLANIM'!$D$2:$D$100002=$A36,0),
    --IFERROR('STOK KULLANIM'!$I$2:$I$100002=$D36,0),
    --( IFERROR('STOK KULLANIM'!$E$2:$E$100002=$B36,0) + IFERROR('STOK KULLANIM'!$E$2:$E$100002="",0) + ($B36="") &gt; 0 ),
    IFERROR('STOK KULLANIM'!$H$2:$H$100002,0)*1
  ),
  $C36*1
)</f>
        <v>0</v>
      </c>
    </row>
    <row r="37" spans="1:5" x14ac:dyDescent="0.3">
      <c r="A37" s="25" t="s">
        <v>88</v>
      </c>
      <c r="B37" s="2"/>
      <c r="E37" cm="1">
        <f t="array" ref="E37">IFERROR(
  $C37*1 -
  SUMPRODUCT(
    --IFERROR('STOK KULLANIM'!$D$2:$D$100002=$A37,0),
    --IFERROR('STOK KULLANIM'!$I$2:$I$100002=$D37,0),
    --( IFERROR('STOK KULLANIM'!$E$2:$E$100002=$B37,0) + IFERROR('STOK KULLANIM'!$E$2:$E$100002="",0) + ($B37="") &gt; 0 ),
    IFERROR('STOK KULLANIM'!$H$2:$H$100002,0)*1
  ),
  $C37*1
)</f>
        <v>0</v>
      </c>
    </row>
    <row r="38" spans="1:5" x14ac:dyDescent="0.3">
      <c r="A38" s="25" t="s">
        <v>89</v>
      </c>
      <c r="B38" s="2"/>
      <c r="E38" cm="1">
        <f t="array" ref="E38">IFERROR(
  $C38*1 -
  SUMPRODUCT(
    --IFERROR('STOK KULLANIM'!$D$2:$D$100002=$A38,0),
    --IFERROR('STOK KULLANIM'!$I$2:$I$100002=$D38,0),
    --( IFERROR('STOK KULLANIM'!$E$2:$E$100002=$B38,0) + IFERROR('STOK KULLANIM'!$E$2:$E$100002="",0) + ($B38="") &gt; 0 ),
    IFERROR('STOK KULLANIM'!$H$2:$H$100002,0)*1
  ),
  $C38*1
)</f>
        <v>0</v>
      </c>
    </row>
    <row r="39" spans="1:5" x14ac:dyDescent="0.3">
      <c r="A39" s="25" t="s">
        <v>90</v>
      </c>
      <c r="B39" s="2"/>
      <c r="E39" cm="1">
        <f t="array" ref="E39">IFERROR(
  $C39*1 -
  SUMPRODUCT(
    --IFERROR('STOK KULLANIM'!$D$2:$D$100002=$A39,0),
    --IFERROR('STOK KULLANIM'!$I$2:$I$100002=$D39,0),
    --( IFERROR('STOK KULLANIM'!$E$2:$E$100002=$B39,0) + IFERROR('STOK KULLANIM'!$E$2:$E$100002="",0) + ($B39="") &gt; 0 ),
    IFERROR('STOK KULLANIM'!$H$2:$H$100002,0)*1
  ),
  $C39*1
)</f>
        <v>0</v>
      </c>
    </row>
    <row r="40" spans="1:5" x14ac:dyDescent="0.3">
      <c r="A40" s="25" t="s">
        <v>91</v>
      </c>
      <c r="B40" s="2"/>
      <c r="E40" cm="1">
        <f t="array" ref="E40">IFERROR(
  $C40*1 -
  SUMPRODUCT(
    --IFERROR('STOK KULLANIM'!$D$2:$D$100002=$A40,0),
    --IFERROR('STOK KULLANIM'!$I$2:$I$100002=$D40,0),
    --( IFERROR('STOK KULLANIM'!$E$2:$E$100002=$B40,0) + IFERROR('STOK KULLANIM'!$E$2:$E$100002="",0) + ($B40="") &gt; 0 ),
    IFERROR('STOK KULLANIM'!$H$2:$H$100002,0)*1
  ),
  $C40*1
)</f>
        <v>0</v>
      </c>
    </row>
    <row r="41" spans="1:5" x14ac:dyDescent="0.3">
      <c r="A41" s="25" t="s">
        <v>92</v>
      </c>
      <c r="B41" s="2"/>
      <c r="E41" cm="1">
        <f t="array" ref="E41">IFERROR(
  $C41*1 -
  SUMPRODUCT(
    --IFERROR('STOK KULLANIM'!$D$2:$D$100002=$A41,0),
    --IFERROR('STOK KULLANIM'!$I$2:$I$100002=$D41,0),
    --( IFERROR('STOK KULLANIM'!$E$2:$E$100002=$B41,0) + IFERROR('STOK KULLANIM'!$E$2:$E$100002="",0) + ($B41="") &gt; 0 ),
    IFERROR('STOK KULLANIM'!$H$2:$H$100002,0)*1
  ),
  $C41*1
)</f>
        <v>0</v>
      </c>
    </row>
    <row r="42" spans="1:5" x14ac:dyDescent="0.3">
      <c r="A42" s="25" t="s">
        <v>93</v>
      </c>
      <c r="B42" s="2"/>
      <c r="E42" cm="1">
        <f t="array" ref="E42">IFERROR(
  $C42*1 -
  SUMPRODUCT(
    --IFERROR('STOK KULLANIM'!$D$2:$D$100002=$A42,0),
    --IFERROR('STOK KULLANIM'!$I$2:$I$100002=$D42,0),
    --( IFERROR('STOK KULLANIM'!$E$2:$E$100002=$B42,0) + IFERROR('STOK KULLANIM'!$E$2:$E$100002="",0) + ($B42="") &gt; 0 ),
    IFERROR('STOK KULLANIM'!$H$2:$H$100002,0)*1
  ),
  $C42*1
)</f>
        <v>0</v>
      </c>
    </row>
    <row r="43" spans="1:5" x14ac:dyDescent="0.3">
      <c r="A43" s="25" t="s">
        <v>94</v>
      </c>
      <c r="B43" s="2"/>
      <c r="E43" cm="1">
        <f t="array" ref="E43">IFERROR(
  $C43*1 -
  SUMPRODUCT(
    --IFERROR('STOK KULLANIM'!$D$2:$D$100002=$A43,0),
    --IFERROR('STOK KULLANIM'!$I$2:$I$100002=$D43,0),
    --( IFERROR('STOK KULLANIM'!$E$2:$E$100002=$B43,0) + IFERROR('STOK KULLANIM'!$E$2:$E$100002="",0) + ($B43="") &gt; 0 ),
    IFERROR('STOK KULLANIM'!$H$2:$H$100002,0)*1
  ),
  $C43*1
)</f>
        <v>0</v>
      </c>
    </row>
    <row r="44" spans="1:5" x14ac:dyDescent="0.3">
      <c r="A44" s="25" t="s">
        <v>95</v>
      </c>
      <c r="B44" s="2"/>
      <c r="E44" cm="1">
        <f t="array" ref="E44">IFERROR(
  $C44*1 -
  SUMPRODUCT(
    --IFERROR('STOK KULLANIM'!$D$2:$D$100002=$A44,0),
    --IFERROR('STOK KULLANIM'!$I$2:$I$100002=$D44,0),
    --( IFERROR('STOK KULLANIM'!$E$2:$E$100002=$B44,0) + IFERROR('STOK KULLANIM'!$E$2:$E$100002="",0) + ($B44="") &gt; 0 ),
    IFERROR('STOK KULLANIM'!$H$2:$H$100002,0)*1
  ),
  $C44*1
)</f>
        <v>0</v>
      </c>
    </row>
    <row r="45" spans="1:5" x14ac:dyDescent="0.3">
      <c r="A45" s="25" t="s">
        <v>96</v>
      </c>
      <c r="B45" s="2"/>
      <c r="E45" cm="1">
        <f t="array" ref="E45">IFERROR(
  $C45*1 -
  SUMPRODUCT(
    --IFERROR('STOK KULLANIM'!$D$2:$D$100002=$A45,0),
    --IFERROR('STOK KULLANIM'!$I$2:$I$100002=$D45,0),
    --( IFERROR('STOK KULLANIM'!$E$2:$E$100002=$B45,0) + IFERROR('STOK KULLANIM'!$E$2:$E$100002="",0) + ($B45="") &gt; 0 ),
    IFERROR('STOK KULLANIM'!$H$2:$H$100002,0)*1
  ),
  $C45*1
)</f>
        <v>0</v>
      </c>
    </row>
    <row r="46" spans="1:5" x14ac:dyDescent="0.3">
      <c r="A46" s="25" t="s">
        <v>97</v>
      </c>
      <c r="B46" s="2"/>
      <c r="E46" cm="1">
        <f t="array" ref="E46">IFERROR(
  $C46*1 -
  SUMPRODUCT(
    --IFERROR('STOK KULLANIM'!$D$2:$D$100002=$A46,0),
    --IFERROR('STOK KULLANIM'!$I$2:$I$100002=$D46,0),
    --( IFERROR('STOK KULLANIM'!$E$2:$E$100002=$B46,0) + IFERROR('STOK KULLANIM'!$E$2:$E$100002="",0) + ($B46="") &gt; 0 ),
    IFERROR('STOK KULLANIM'!$H$2:$H$100002,0)*1
  ),
  $C46*1
)</f>
        <v>0</v>
      </c>
    </row>
    <row r="47" spans="1:5" x14ac:dyDescent="0.3">
      <c r="A47" s="25" t="s">
        <v>98</v>
      </c>
      <c r="B47" s="2"/>
      <c r="E47" cm="1">
        <f t="array" ref="E47">IFERROR(
  $C47*1 -
  SUMPRODUCT(
    --IFERROR('STOK KULLANIM'!$D$2:$D$100002=$A47,0),
    --IFERROR('STOK KULLANIM'!$I$2:$I$100002=$D47,0),
    --( IFERROR('STOK KULLANIM'!$E$2:$E$100002=$B47,0) + IFERROR('STOK KULLANIM'!$E$2:$E$100002="",0) + ($B47="") &gt; 0 ),
    IFERROR('STOK KULLANIM'!$H$2:$H$100002,0)*1
  ),
  $C47*1
)</f>
        <v>0</v>
      </c>
    </row>
    <row r="48" spans="1:5" x14ac:dyDescent="0.3">
      <c r="A48" s="25" t="s">
        <v>99</v>
      </c>
      <c r="B48" s="2"/>
      <c r="E48" cm="1">
        <f t="array" ref="E48">IFERROR(
  $C48*1 -
  SUMPRODUCT(
    --IFERROR('STOK KULLANIM'!$D$2:$D$100002=$A48,0),
    --IFERROR('STOK KULLANIM'!$I$2:$I$100002=$D48,0),
    --( IFERROR('STOK KULLANIM'!$E$2:$E$100002=$B48,0) + IFERROR('STOK KULLANIM'!$E$2:$E$100002="",0) + ($B48="") &gt; 0 ),
    IFERROR('STOK KULLANIM'!$H$2:$H$100002,0)*1
  ),
  $C48*1
)</f>
        <v>0</v>
      </c>
    </row>
    <row r="49" spans="1:5" x14ac:dyDescent="0.3">
      <c r="A49" s="25" t="s">
        <v>100</v>
      </c>
      <c r="B49" s="2"/>
      <c r="E49" cm="1">
        <f t="array" ref="E49">IFERROR(
  $C49*1 -
  SUMPRODUCT(
    --IFERROR('STOK KULLANIM'!$D$2:$D$100002=$A49,0),
    --IFERROR('STOK KULLANIM'!$I$2:$I$100002=$D49,0),
    --( IFERROR('STOK KULLANIM'!$E$2:$E$100002=$B49,0) + IFERROR('STOK KULLANIM'!$E$2:$E$100002="",0) + ($B49="") &gt; 0 ),
    IFERROR('STOK KULLANIM'!$H$2:$H$100002,0)*1
  ),
  $C49*1
)</f>
        <v>0</v>
      </c>
    </row>
    <row r="50" spans="1:5" x14ac:dyDescent="0.3">
      <c r="A50" s="25" t="s">
        <v>101</v>
      </c>
      <c r="B50" s="2"/>
      <c r="E50" cm="1">
        <f t="array" ref="E50">IFERROR(
  $C50*1 -
  SUMPRODUCT(
    --IFERROR('STOK KULLANIM'!$D$2:$D$100002=$A50,0),
    --IFERROR('STOK KULLANIM'!$I$2:$I$100002=$D50,0),
    --( IFERROR('STOK KULLANIM'!$E$2:$E$100002=$B50,0) + IFERROR('STOK KULLANIM'!$E$2:$E$100002="",0) + ($B50="") &gt; 0 ),
    IFERROR('STOK KULLANIM'!$H$2:$H$100002,0)*1
  ),
  $C50*1
)</f>
        <v>0</v>
      </c>
    </row>
    <row r="51" spans="1:5" x14ac:dyDescent="0.3">
      <c r="A51" s="25" t="s">
        <v>102</v>
      </c>
      <c r="B51" s="2"/>
      <c r="E51" cm="1">
        <f t="array" ref="E51">IFERROR(
  $C51*1 -
  SUMPRODUCT(
    --IFERROR('STOK KULLANIM'!$D$2:$D$100002=$A51,0),
    --IFERROR('STOK KULLANIM'!$I$2:$I$100002=$D51,0),
    --( IFERROR('STOK KULLANIM'!$E$2:$E$100002=$B51,0) + IFERROR('STOK KULLANIM'!$E$2:$E$100002="",0) + ($B51="") &gt; 0 ),
    IFERROR('STOK KULLANIM'!$H$2:$H$100002,0)*1
  ),
  $C51*1
)</f>
        <v>0</v>
      </c>
    </row>
    <row r="52" spans="1:5" x14ac:dyDescent="0.3">
      <c r="A52" s="25" t="s">
        <v>103</v>
      </c>
      <c r="B52" s="2"/>
      <c r="E52" cm="1">
        <f t="array" ref="E52">IFERROR(
  $C52*1 -
  SUMPRODUCT(
    --IFERROR('STOK KULLANIM'!$D$2:$D$100002=$A52,0),
    --IFERROR('STOK KULLANIM'!$I$2:$I$100002=$D52,0),
    --( IFERROR('STOK KULLANIM'!$E$2:$E$100002=$B52,0) + IFERROR('STOK KULLANIM'!$E$2:$E$100002="",0) + ($B52="") &gt; 0 ),
    IFERROR('STOK KULLANIM'!$H$2:$H$100002,0)*1
  ),
  $C52*1
)</f>
        <v>0</v>
      </c>
    </row>
    <row r="53" spans="1:5" x14ac:dyDescent="0.3">
      <c r="A53" s="25" t="s">
        <v>104</v>
      </c>
      <c r="B53" s="2"/>
      <c r="E53" cm="1">
        <f t="array" ref="E53">IFERROR(
  $C53*1 -
  SUMPRODUCT(
    --IFERROR('STOK KULLANIM'!$D$2:$D$100002=$A53,0),
    --IFERROR('STOK KULLANIM'!$I$2:$I$100002=$D53,0),
    --( IFERROR('STOK KULLANIM'!$E$2:$E$100002=$B53,0) + IFERROR('STOK KULLANIM'!$E$2:$E$100002="",0) + ($B53="") &gt; 0 ),
    IFERROR('STOK KULLANIM'!$H$2:$H$100002,0)*1
  ),
  $C53*1
)</f>
        <v>0</v>
      </c>
    </row>
    <row r="54" spans="1:5" x14ac:dyDescent="0.3">
      <c r="A54" s="25" t="s">
        <v>105</v>
      </c>
      <c r="B54" s="2"/>
      <c r="E54" cm="1">
        <f t="array" ref="E54">IFERROR(
  $C54*1 -
  SUMPRODUCT(
    --IFERROR('STOK KULLANIM'!$D$2:$D$100002=$A54,0),
    --IFERROR('STOK KULLANIM'!$I$2:$I$100002=$D54,0),
    --( IFERROR('STOK KULLANIM'!$E$2:$E$100002=$B54,0) + IFERROR('STOK KULLANIM'!$E$2:$E$100002="",0) + ($B54="") &gt; 0 ),
    IFERROR('STOK KULLANIM'!$H$2:$H$100002,0)*1
  ),
  $C54*1
)</f>
        <v>0</v>
      </c>
    </row>
    <row r="55" spans="1:5" x14ac:dyDescent="0.3">
      <c r="A55" s="25" t="s">
        <v>106</v>
      </c>
      <c r="B55" s="2" t="s">
        <v>52</v>
      </c>
      <c r="C55">
        <v>108</v>
      </c>
      <c r="D55">
        <v>6000</v>
      </c>
      <c r="E55" cm="1">
        <f t="array" ref="E55">IFERROR(
  $C55*1 -
  SUMPRODUCT(
    --IFERROR('STOK KULLANIM'!$D$2:$D$100002=$A55,0),
    --IFERROR('STOK KULLANIM'!$I$2:$I$100002=$D55,0),
    --( IFERROR('STOK KULLANIM'!$E$2:$E$100002=$B55,0) + IFERROR('STOK KULLANIM'!$E$2:$E$100002="",0) + ($B55="") &gt; 0 ),
    IFERROR('STOK KULLANIM'!$H$2:$H$100002,0)*1
  ),
  $C55*1
)</f>
        <v>108</v>
      </c>
    </row>
    <row r="56" spans="1:5" x14ac:dyDescent="0.3">
      <c r="A56" s="26"/>
      <c r="B56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D69B-0543-43DC-B448-06BC351286D8}">
  <dimension ref="A1:E55"/>
  <sheetViews>
    <sheetView workbookViewId="0">
      <selection activeCell="D10" sqref="D10"/>
    </sheetView>
  </sheetViews>
  <sheetFormatPr defaultRowHeight="14.4" x14ac:dyDescent="0.3"/>
  <cols>
    <col min="1" max="1" width="11.5546875" customWidth="1"/>
    <col min="2" max="2" width="9.109375" customWidth="1"/>
    <col min="4" max="4" width="11.21875" customWidth="1"/>
    <col min="5" max="5" width="13.5546875" customWidth="1"/>
  </cols>
  <sheetData>
    <row r="1" spans="1:5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</row>
    <row r="2" spans="1:5" x14ac:dyDescent="0.3">
      <c r="A2" s="33" t="s">
        <v>112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</row>
    <row r="3" spans="1:5" x14ac:dyDescent="0.3">
      <c r="A3" s="34" t="s">
        <v>125</v>
      </c>
      <c r="B3" s="2" t="s">
        <v>52</v>
      </c>
      <c r="C3">
        <v>47</v>
      </c>
      <c r="D3">
        <v>12000</v>
      </c>
      <c r="E3" cm="1">
        <f t="array" ref="E3">IFERROR(
  $C3*1 -
  SUMPRODUCT(
    --IFERROR('STOK KULLANIM'!$D$2:$D$100002=$A3,0),
    --IFERROR('STOK KULLANIM'!$I$2:$I$100002=$D3,0),
    --( IFERROR('STOK KULLANIM'!$E$2:$E$100002=$B3,0) + IFERROR('STOK KULLANIM'!$E$2:$E$100002="",0) + ($B3="") &gt; 0 ),
    IFERROR('STOK KULLANIM'!$H$2:$H$100002,0)*1
  ),
  $C3*1
)</f>
        <v>47</v>
      </c>
    </row>
    <row r="4" spans="1:5" x14ac:dyDescent="0.3">
      <c r="A4" s="33" t="s">
        <v>126</v>
      </c>
      <c r="B4" s="2"/>
      <c r="E4" cm="1">
        <f t="array" ref="E4">IFERROR(
  $C4*1 -
  SUMPRODUCT(
    --IFERROR('STOK KULLANIM'!$D$2:$D$100002=$A4,0),
    --IFERROR('STOK KULLANIM'!$I$2:$I$100002=$D4,0),
    --( IFERROR('STOK KULLANIM'!$E$2:$E$100002=$B4,0) + IFERROR('STOK KULLANIM'!$E$2:$E$100002="",0) + ($B4="") &gt; 0 ),
    IFERROR('STOK KULLANIM'!$H$2:$H$100002,0)*1
  ),
  $C4*1
)</f>
        <v>0</v>
      </c>
    </row>
    <row r="5" spans="1:5" x14ac:dyDescent="0.3">
      <c r="A5" s="34" t="s">
        <v>127</v>
      </c>
      <c r="B5" s="2"/>
      <c r="E5" cm="1">
        <f t="array" ref="E5">IFERROR(
  $C5*1 -
  SUMPRODUCT(
    --IFERROR('STOK KULLANIM'!$D$2:$D$100002=$A5,0),
    --IFERROR('STOK KULLANIM'!$I$2:$I$100002=$D5,0),
    --( IFERROR('STOK KULLANIM'!$E$2:$E$100002=$B5,0) + IFERROR('STOK KULLANIM'!$E$2:$E$100002="",0) + ($B5="") &gt; 0 ),
    IFERROR('STOK KULLANIM'!$H$2:$H$100002,0)*1
  ),
  $C5*1
)</f>
        <v>0</v>
      </c>
    </row>
    <row r="6" spans="1:5" x14ac:dyDescent="0.3">
      <c r="A6" s="33" t="s">
        <v>126</v>
      </c>
      <c r="B6" s="2"/>
      <c r="E6" cm="1">
        <f t="array" ref="E6">IFERROR(
  $C6*1 -
  SUMPRODUCT(
    --IFERROR('STOK KULLANIM'!$D$2:$D$100002=$A6,0),
    --IFERROR('STOK KULLANIM'!$I$2:$I$100002=$D6,0),
    --( IFERROR('STOK KULLANIM'!$E$2:$E$100002=$B6,0) + IFERROR('STOK KULLANIM'!$E$2:$E$100002="",0) + ($B6="") &gt; 0 ),
    IFERROR('STOK KULLANIM'!$H$2:$H$100002,0)*1
  ),
  $C6*1
)</f>
        <v>0</v>
      </c>
    </row>
    <row r="7" spans="1:5" x14ac:dyDescent="0.3">
      <c r="A7" s="34" t="s">
        <v>128</v>
      </c>
      <c r="B7" s="2"/>
      <c r="E7" cm="1">
        <f t="array" ref="E7">IFERROR(
  $C7*1 -
  SUMPRODUCT(
    --IFERROR('STOK KULLANIM'!$D$2:$D$100002=$A7,0),
    --IFERROR('STOK KULLANIM'!$I$2:$I$100002=$D7,0),
    --( IFERROR('STOK KULLANIM'!$E$2:$E$100002=$B7,0) + IFERROR('STOK KULLANIM'!$E$2:$E$100002="",0) + ($B7="") &gt; 0 ),
    IFERROR('STOK KULLANIM'!$H$2:$H$100002,0)*1
  ),
  $C7*1
)</f>
        <v>0</v>
      </c>
    </row>
    <row r="8" spans="1:5" x14ac:dyDescent="0.3">
      <c r="A8" s="33" t="s">
        <v>129</v>
      </c>
      <c r="B8" s="2"/>
      <c r="E8" cm="1">
        <f t="array" ref="E8">IFERROR(
  $C8*1 -
  SUMPRODUCT(
    --IFERROR('STOK KULLANIM'!$D$2:$D$100002=$A8,0),
    --IFERROR('STOK KULLANIM'!$I$2:$I$100002=$D8,0),
    --( IFERROR('STOK KULLANIM'!$E$2:$E$100002=$B8,0) + IFERROR('STOK KULLANIM'!$E$2:$E$100002="",0) + ($B8="") &gt; 0 ),
    IFERROR('STOK KULLANIM'!$H$2:$H$100002,0)*1
  ),
  $C8*1
)</f>
        <v>0</v>
      </c>
    </row>
    <row r="9" spans="1:5" x14ac:dyDescent="0.3">
      <c r="A9" s="34" t="s">
        <v>130</v>
      </c>
      <c r="B9" s="2"/>
      <c r="E9" cm="1">
        <f t="array" ref="E9">IFERROR(
  $C9*1 -
  SUMPRODUCT(
    --IFERROR('STOK KULLANIM'!$D$2:$D$100002=$A9,0),
    --IFERROR('STOK KULLANIM'!$I$2:$I$100002=$D9,0),
    --( IFERROR('STOK KULLANIM'!$E$2:$E$100002=$B9,0) + IFERROR('STOK KULLANIM'!$E$2:$E$100002="",0) + ($B9="") &gt; 0 ),
    IFERROR('STOK KULLANIM'!$H$2:$H$100002,0)*1
  ),
  $C9*1
)</f>
        <v>0</v>
      </c>
    </row>
    <row r="10" spans="1:5" x14ac:dyDescent="0.3">
      <c r="A10" s="33" t="s">
        <v>126</v>
      </c>
      <c r="B10" s="2" t="s">
        <v>52</v>
      </c>
      <c r="C10">
        <v>85</v>
      </c>
      <c r="D10">
        <v>12000</v>
      </c>
      <c r="E10" cm="1">
        <f t="array" ref="E10">IFERROR(
  $C10*1 -
  SUMPRODUCT(
    --IFERROR('STOK KULLANIM'!$D$2:$D$100002=$A10,0),
    --IFERROR('STOK KULLANIM'!$I$2:$I$100002=$D10,0),
    --( IFERROR('STOK KULLANIM'!$E$2:$E$100002=$B10,0) + IFERROR('STOK KULLANIM'!$E$2:$E$100002="",0) + ($B10="") &gt; 0 ),
    IFERROR('STOK KULLANIM'!$H$2:$H$100002,0)*1
  ),
  $C10*1
)</f>
        <v>85</v>
      </c>
    </row>
    <row r="11" spans="1:5" x14ac:dyDescent="0.3">
      <c r="A11" s="34" t="s">
        <v>131</v>
      </c>
      <c r="B11" s="2"/>
      <c r="E11" cm="1">
        <f t="array" ref="E11">IFERROR(
  $C11*1 -
  SUMPRODUCT(
    --IFERROR('STOK KULLANIM'!$D$2:$D$100002=$A11,0),
    --IFERROR('STOK KULLANIM'!$I$2:$I$100002=$D11,0),
    --( IFERROR('STOK KULLANIM'!$E$2:$E$100002=$B11,0) + IFERROR('STOK KULLANIM'!$E$2:$E$100002="",0) + ($B11="") &gt; 0 ),
    IFERROR('STOK KULLANIM'!$H$2:$H$100002,0)*1
  ),
  $C11*1
)</f>
        <v>0</v>
      </c>
    </row>
    <row r="12" spans="1:5" x14ac:dyDescent="0.3">
      <c r="A12" s="33" t="s">
        <v>132</v>
      </c>
      <c r="B12" s="2"/>
      <c r="E12" cm="1">
        <f t="array" ref="E12">IFERROR(
  $C12*1 -
  SUMPRODUCT(
    --IFERROR('STOK KULLANIM'!$D$2:$D$100002=$A12,0),
    --IFERROR('STOK KULLANIM'!$I$2:$I$100002=$D12,0),
    --( IFERROR('STOK KULLANIM'!$E$2:$E$100002=$B12,0) + IFERROR('STOK KULLANIM'!$E$2:$E$100002="",0) + ($B12="") &gt; 0 ),
    IFERROR('STOK KULLANIM'!$H$2:$H$100002,0)*1
  ),
  $C12*1
)</f>
        <v>0</v>
      </c>
    </row>
    <row r="13" spans="1:5" x14ac:dyDescent="0.3">
      <c r="A13" s="34" t="s">
        <v>133</v>
      </c>
      <c r="B13" s="2"/>
      <c r="E13" cm="1">
        <f t="array" ref="E13">IFERROR(
  $C13*1 -
  SUMPRODUCT(
    --IFERROR('STOK KULLANIM'!$D$2:$D$100002=$A13,0),
    --IFERROR('STOK KULLANIM'!$I$2:$I$100002=$D13,0),
    --( IFERROR('STOK KULLANIM'!$E$2:$E$100002=$B13,0) + IFERROR('STOK KULLANIM'!$E$2:$E$100002="",0) + ($B13="") &gt; 0 ),
    IFERROR('STOK KULLANIM'!$H$2:$H$100002,0)*1
  ),
  $C13*1
)</f>
        <v>0</v>
      </c>
    </row>
    <row r="14" spans="1:5" x14ac:dyDescent="0.3">
      <c r="A14" s="33" t="s">
        <v>130</v>
      </c>
      <c r="B14" s="2"/>
      <c r="E14" cm="1">
        <f t="array" ref="E14">IFERROR(
  $C14*1 -
  SUMPRODUCT(
    --IFERROR('STOK KULLANIM'!$D$2:$D$100002=$A14,0),
    --IFERROR('STOK KULLANIM'!$I$2:$I$100002=$D14,0),
    --( IFERROR('STOK KULLANIM'!$E$2:$E$100002=$B14,0) + IFERROR('STOK KULLANIM'!$E$2:$E$100002="",0) + ($B14="") &gt; 0 ),
    IFERROR('STOK KULLANIM'!$H$2:$H$100002,0)*1
  ),
  $C14*1
)</f>
        <v>0</v>
      </c>
    </row>
    <row r="15" spans="1:5" x14ac:dyDescent="0.3">
      <c r="A15" s="34" t="s">
        <v>134</v>
      </c>
      <c r="B15" s="2"/>
      <c r="E15" cm="1">
        <f t="array" ref="E15">IFERROR(
  $C15*1 -
  SUMPRODUCT(
    --IFERROR('STOK KULLANIM'!$D$2:$D$100002=$A15,0),
    --IFERROR('STOK KULLANIM'!$I$2:$I$100002=$D15,0),
    --( IFERROR('STOK KULLANIM'!$E$2:$E$100002=$B15,0) + IFERROR('STOK KULLANIM'!$E$2:$E$100002="",0) + ($B15="") &gt; 0 ),
    IFERROR('STOK KULLANIM'!$H$2:$H$100002,0)*1
  ),
  $C15*1
)</f>
        <v>0</v>
      </c>
    </row>
    <row r="16" spans="1:5" x14ac:dyDescent="0.3">
      <c r="A16" s="33" t="s">
        <v>135</v>
      </c>
      <c r="B16" s="2"/>
      <c r="E16" cm="1">
        <f t="array" ref="E16">IFERROR(
  $C16*1 -
  SUMPRODUCT(
    --IFERROR('STOK KULLANIM'!$D$2:$D$100002=$A16,0),
    --IFERROR('STOK KULLANIM'!$I$2:$I$100002=$D16,0),
    --( IFERROR('STOK KULLANIM'!$E$2:$E$100002=$B16,0) + IFERROR('STOK KULLANIM'!$E$2:$E$100002="",0) + ($B16="") &gt; 0 ),
    IFERROR('STOK KULLANIM'!$H$2:$H$100002,0)*1
  ),
  $C16*1
)</f>
        <v>0</v>
      </c>
    </row>
    <row r="17" spans="1:5" x14ac:dyDescent="0.3">
      <c r="A17" s="34" t="s">
        <v>128</v>
      </c>
      <c r="B17" s="2" t="s">
        <v>52</v>
      </c>
      <c r="C17">
        <v>108</v>
      </c>
      <c r="D17">
        <v>6000</v>
      </c>
      <c r="E17" cm="1">
        <f t="array" ref="E17">IFERROR(
  $C17*1 -
  SUMPRODUCT(
    --IFERROR('STOK KULLANIM'!$D$2:$D$100002=$A17,0),
    --IFERROR('STOK KULLANIM'!$I$2:$I$100002=$D17,0),
    --( IFERROR('STOK KULLANIM'!$E$2:$E$100002=$B17,0) + IFERROR('STOK KULLANIM'!$E$2:$E$100002="",0) + ($B17="") &gt; 0 ),
    IFERROR('STOK KULLANIM'!$H$2:$H$100002,0)*1
  ),
  $C17*1
)</f>
        <v>108</v>
      </c>
    </row>
    <row r="18" spans="1:5" x14ac:dyDescent="0.3">
      <c r="A18" s="33" t="s">
        <v>127</v>
      </c>
      <c r="B18" s="2"/>
      <c r="E18" cm="1">
        <f t="array" ref="E18">IFERROR(
  $C18*1 -
  SUMPRODUCT(
    --IFERROR('STOK KULLANIM'!$D$2:$D$100002=$A18,0),
    --IFERROR('STOK KULLANIM'!$I$2:$I$100002=$D18,0),
    --( IFERROR('STOK KULLANIM'!$E$2:$E$100002=$B18,0) + IFERROR('STOK KULLANIM'!$E$2:$E$100002="",0) + ($B18="") &gt; 0 ),
    IFERROR('STOK KULLANIM'!$H$2:$H$100002,0)*1
  ),
  $C18*1
)</f>
        <v>0</v>
      </c>
    </row>
    <row r="19" spans="1:5" x14ac:dyDescent="0.3">
      <c r="A19" s="34" t="s">
        <v>136</v>
      </c>
      <c r="B19" s="2"/>
      <c r="E19" cm="1">
        <f t="array" ref="E19">IFERROR(
  $C19*1 -
  SUMPRODUCT(
    --IFERROR('STOK KULLANIM'!$D$2:$D$100002=$A19,0),
    --IFERROR('STOK KULLANIM'!$I$2:$I$100002=$D19,0),
    --( IFERROR('STOK KULLANIM'!$E$2:$E$100002=$B19,0) + IFERROR('STOK KULLANIM'!$E$2:$E$100002="",0) + ($B19="") &gt; 0 ),
    IFERROR('STOK KULLANIM'!$H$2:$H$100002,0)*1
  ),
  $C19*1
)</f>
        <v>0</v>
      </c>
    </row>
    <row r="20" spans="1:5" x14ac:dyDescent="0.3">
      <c r="A20" s="33" t="s">
        <v>128</v>
      </c>
      <c r="B20" s="2"/>
      <c r="E20" cm="1">
        <f t="array" ref="E20">IFERROR(
  $C20*1 -
  SUMPRODUCT(
    --IFERROR('STOK KULLANIM'!$D$2:$D$100002=$A20,0),
    --IFERROR('STOK KULLANIM'!$I$2:$I$100002=$D20,0),
    --( IFERROR('STOK KULLANIM'!$E$2:$E$100002=$B20,0) + IFERROR('STOK KULLANIM'!$E$2:$E$100002="",0) + ($B20="") &gt; 0 ),
    IFERROR('STOK KULLANIM'!$H$2:$H$100002,0)*1
  ),
  $C20*1
)</f>
        <v>0</v>
      </c>
    </row>
    <row r="21" spans="1:5" x14ac:dyDescent="0.3">
      <c r="A21" s="34" t="s">
        <v>134</v>
      </c>
      <c r="B21" s="2"/>
      <c r="E21" cm="1">
        <f t="array" ref="E21">IFERROR(
  $C21*1 -
  SUMPRODUCT(
    --IFERROR('STOK KULLANIM'!$D$2:$D$100002=$A21,0),
    --IFERROR('STOK KULLANIM'!$I$2:$I$100002=$D21,0),
    --( IFERROR('STOK KULLANIM'!$E$2:$E$100002=$B21,0) + IFERROR('STOK KULLANIM'!$E$2:$E$100002="",0) + ($B21="") &gt; 0 ),
    IFERROR('STOK KULLANIM'!$H$2:$H$100002,0)*1
  ),
  $C21*1
)</f>
        <v>0</v>
      </c>
    </row>
    <row r="22" spans="1:5" x14ac:dyDescent="0.3">
      <c r="A22" s="33" t="s">
        <v>126</v>
      </c>
      <c r="B22" s="2"/>
      <c r="E22" cm="1">
        <f t="array" ref="E22">IFERROR(
  $C22*1 -
  SUMPRODUCT(
    --IFERROR('STOK KULLANIM'!$D$2:$D$100002=$A22,0),
    --IFERROR('STOK KULLANIM'!$I$2:$I$100002=$D22,0),
    --( IFERROR('STOK KULLANIM'!$E$2:$E$100002=$B22,0) + IFERROR('STOK KULLANIM'!$E$2:$E$100002="",0) + ($B22="") &gt; 0 ),
    IFERROR('STOK KULLANIM'!$H$2:$H$100002,0)*1
  ),
  $C22*1
)</f>
        <v>0</v>
      </c>
    </row>
    <row r="23" spans="1:5" x14ac:dyDescent="0.3">
      <c r="A23" s="25"/>
      <c r="B23" s="2"/>
    </row>
    <row r="24" spans="1:5" x14ac:dyDescent="0.3">
      <c r="A24" s="25"/>
      <c r="B24" s="2"/>
    </row>
    <row r="25" spans="1:5" x14ac:dyDescent="0.3">
      <c r="A25" s="25"/>
      <c r="B25" s="2"/>
    </row>
    <row r="26" spans="1:5" x14ac:dyDescent="0.3">
      <c r="A26" s="25"/>
      <c r="B26" s="2"/>
    </row>
    <row r="27" spans="1:5" x14ac:dyDescent="0.3">
      <c r="A27" s="25"/>
      <c r="B27" s="2"/>
    </row>
    <row r="28" spans="1:5" x14ac:dyDescent="0.3">
      <c r="A28" s="25"/>
      <c r="B28" s="2"/>
    </row>
    <row r="29" spans="1:5" x14ac:dyDescent="0.3">
      <c r="A29" s="25"/>
      <c r="B29" s="2"/>
    </row>
    <row r="30" spans="1:5" x14ac:dyDescent="0.3">
      <c r="A30" s="25"/>
      <c r="B30" s="2"/>
    </row>
    <row r="31" spans="1:5" x14ac:dyDescent="0.3">
      <c r="A31" s="25"/>
      <c r="B31" s="2"/>
    </row>
    <row r="32" spans="1:5" x14ac:dyDescent="0.3">
      <c r="A32" s="25"/>
      <c r="B32" s="2"/>
    </row>
    <row r="33" spans="1:2" x14ac:dyDescent="0.3">
      <c r="A33" s="25"/>
      <c r="B33" s="2"/>
    </row>
    <row r="34" spans="1:2" x14ac:dyDescent="0.3">
      <c r="A34" s="25"/>
      <c r="B34" s="2"/>
    </row>
    <row r="35" spans="1:2" x14ac:dyDescent="0.3">
      <c r="A35" s="25"/>
      <c r="B35" s="2"/>
    </row>
    <row r="36" spans="1:2" x14ac:dyDescent="0.3">
      <c r="A36" s="25"/>
      <c r="B36" s="2"/>
    </row>
    <row r="37" spans="1:2" x14ac:dyDescent="0.3">
      <c r="A37" s="25"/>
      <c r="B37" s="2"/>
    </row>
    <row r="38" spans="1:2" x14ac:dyDescent="0.3">
      <c r="A38" s="25"/>
      <c r="B38" s="2"/>
    </row>
    <row r="39" spans="1:2" x14ac:dyDescent="0.3">
      <c r="A39" s="25"/>
      <c r="B39" s="2"/>
    </row>
    <row r="40" spans="1:2" x14ac:dyDescent="0.3">
      <c r="A40" s="25"/>
      <c r="B40" s="2"/>
    </row>
    <row r="41" spans="1:2" x14ac:dyDescent="0.3">
      <c r="A41" s="25"/>
      <c r="B41" s="2"/>
    </row>
    <row r="42" spans="1:2" x14ac:dyDescent="0.3">
      <c r="A42" s="25"/>
      <c r="B42" s="2"/>
    </row>
    <row r="43" spans="1:2" x14ac:dyDescent="0.3">
      <c r="A43" s="25"/>
      <c r="B43" s="2"/>
    </row>
    <row r="44" spans="1:2" x14ac:dyDescent="0.3">
      <c r="A44" s="25"/>
      <c r="B44" s="2"/>
    </row>
    <row r="45" spans="1:2" x14ac:dyDescent="0.3">
      <c r="A45" s="25"/>
      <c r="B45" s="2"/>
    </row>
    <row r="46" spans="1:2" x14ac:dyDescent="0.3">
      <c r="A46" s="25"/>
      <c r="B46" s="2"/>
    </row>
    <row r="47" spans="1:2" x14ac:dyDescent="0.3">
      <c r="A47" s="25"/>
      <c r="B47" s="2"/>
    </row>
    <row r="48" spans="1:2" x14ac:dyDescent="0.3">
      <c r="A48" s="25"/>
      <c r="B48" s="2"/>
    </row>
    <row r="49" spans="1:2" x14ac:dyDescent="0.3">
      <c r="A49" s="25"/>
      <c r="B49" s="2"/>
    </row>
    <row r="50" spans="1:2" x14ac:dyDescent="0.3">
      <c r="A50" s="25"/>
      <c r="B50" s="2"/>
    </row>
    <row r="51" spans="1:2" x14ac:dyDescent="0.3">
      <c r="A51" s="25"/>
      <c r="B51" s="2"/>
    </row>
    <row r="52" spans="1:2" x14ac:dyDescent="0.3">
      <c r="A52" s="25"/>
      <c r="B52" s="2"/>
    </row>
    <row r="53" spans="1:2" x14ac:dyDescent="0.3">
      <c r="A53" s="25"/>
      <c r="B53" s="2"/>
    </row>
    <row r="54" spans="1:2" x14ac:dyDescent="0.3">
      <c r="A54" s="25"/>
      <c r="B54" s="2"/>
    </row>
    <row r="55" spans="1:2" x14ac:dyDescent="0.3">
      <c r="A55" s="25"/>
      <c r="B55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EF002-2878-4134-B409-E5372536B18A}">
  <dimension ref="A1:E55"/>
  <sheetViews>
    <sheetView workbookViewId="0">
      <selection activeCell="H21" sqref="H21"/>
    </sheetView>
  </sheetViews>
  <sheetFormatPr defaultRowHeight="14.4" x14ac:dyDescent="0.3"/>
  <cols>
    <col min="1" max="1" width="11.5546875" customWidth="1"/>
    <col min="2" max="2" width="9.109375" customWidth="1"/>
    <col min="4" max="4" width="11.21875" customWidth="1"/>
    <col min="5" max="5" width="13.5546875" customWidth="1"/>
  </cols>
  <sheetData>
    <row r="1" spans="1:5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</row>
    <row r="2" spans="1:5" x14ac:dyDescent="0.3">
      <c r="A2" s="33" t="s">
        <v>137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</row>
    <row r="3" spans="1:5" x14ac:dyDescent="0.3">
      <c r="A3" s="34" t="s">
        <v>138</v>
      </c>
      <c r="B3" s="2" t="s">
        <v>52</v>
      </c>
      <c r="C3">
        <v>47</v>
      </c>
      <c r="D3">
        <v>12000</v>
      </c>
      <c r="E3" cm="1">
        <f t="array" ref="E3">IFERROR(
  $C3*1 -
  SUMPRODUCT(
    --IFERROR('STOK KULLANIM'!$D$2:$D$100002=$A3,0),
    --IFERROR('STOK KULLANIM'!$I$2:$I$100002=$D3,0),
    --( IFERROR('STOK KULLANIM'!$E$2:$E$100002=$B3,0) + IFERROR('STOK KULLANIM'!$E$2:$E$100002="",0) + ($B3="") &gt; 0 ),
    IFERROR('STOK KULLANIM'!$H$2:$H$100002,0)*1
  ),
  $C3*1
)</f>
        <v>47</v>
      </c>
    </row>
    <row r="4" spans="1:5" x14ac:dyDescent="0.3">
      <c r="A4" s="33" t="s">
        <v>139</v>
      </c>
      <c r="B4" s="2"/>
      <c r="E4" cm="1">
        <f t="array" ref="E4">IFERROR(
  $C4*1 -
  SUMPRODUCT(
    --IFERROR('STOK KULLANIM'!$D$2:$D$100002=$A4,0),
    --IFERROR('STOK KULLANIM'!$I$2:$I$100002=$D4,0),
    --( IFERROR('STOK KULLANIM'!$E$2:$E$100002=$B4,0) + IFERROR('STOK KULLANIM'!$E$2:$E$100002="",0) + ($B4="") &gt; 0 ),
    IFERROR('STOK KULLANIM'!$H$2:$H$100002,0)*1
  ),
  $C4*1
)</f>
        <v>0</v>
      </c>
    </row>
    <row r="5" spans="1:5" x14ac:dyDescent="0.3">
      <c r="A5" s="34" t="s">
        <v>140</v>
      </c>
      <c r="B5" s="2"/>
      <c r="E5" cm="1">
        <f t="array" ref="E5">IFERROR(
  $C5*1 -
  SUMPRODUCT(
    --IFERROR('STOK KULLANIM'!$D$2:$D$100002=$A5,0),
    --IFERROR('STOK KULLANIM'!$I$2:$I$100002=$D5,0),
    --( IFERROR('STOK KULLANIM'!$E$2:$E$100002=$B5,0) + IFERROR('STOK KULLANIM'!$E$2:$E$100002="",0) + ($B5="") &gt; 0 ),
    IFERROR('STOK KULLANIM'!$H$2:$H$100002,0)*1
  ),
  $C5*1
)</f>
        <v>0</v>
      </c>
    </row>
    <row r="6" spans="1:5" x14ac:dyDescent="0.3">
      <c r="A6" s="33" t="s">
        <v>141</v>
      </c>
      <c r="B6" s="2"/>
      <c r="E6" cm="1">
        <f t="array" ref="E6">IFERROR(
  $C6*1 -
  SUMPRODUCT(
    --IFERROR('STOK KULLANIM'!$D$2:$D$100002=$A6,0),
    --IFERROR('STOK KULLANIM'!$I$2:$I$100002=$D6,0),
    --( IFERROR('STOK KULLANIM'!$E$2:$E$100002=$B6,0) + IFERROR('STOK KULLANIM'!$E$2:$E$100002="",0) + ($B6="") &gt; 0 ),
    IFERROR('STOK KULLANIM'!$H$2:$H$100002,0)*1
  ),
  $C6*1
)</f>
        <v>0</v>
      </c>
    </row>
    <row r="7" spans="1:5" x14ac:dyDescent="0.3">
      <c r="A7" s="34" t="s">
        <v>142</v>
      </c>
      <c r="B7" s="2"/>
      <c r="E7" cm="1">
        <f t="array" ref="E7">IFERROR(
  $C7*1 -
  SUMPRODUCT(
    --IFERROR('STOK KULLANIM'!$D$2:$D$100002=$A7,0),
    --IFERROR('STOK KULLANIM'!$I$2:$I$100002=$D7,0),
    --( IFERROR('STOK KULLANIM'!$E$2:$E$100002=$B7,0) + IFERROR('STOK KULLANIM'!$E$2:$E$100002="",0) + ($B7="") &gt; 0 ),
    IFERROR('STOK KULLANIM'!$H$2:$H$100002,0)*1
  ),
  $C7*1
)</f>
        <v>0</v>
      </c>
    </row>
    <row r="8" spans="1:5" x14ac:dyDescent="0.3">
      <c r="A8" s="33" t="s">
        <v>137</v>
      </c>
      <c r="B8" s="2"/>
      <c r="E8" cm="1">
        <f t="array" ref="E8">IFERROR(
  $C8*1 -
  SUMPRODUCT(
    --IFERROR('STOK KULLANIM'!$D$2:$D$100002=$A8,0),
    --IFERROR('STOK KULLANIM'!$I$2:$I$100002=$D8,0),
    --( IFERROR('STOK KULLANIM'!$E$2:$E$100002=$B8,0) + IFERROR('STOK KULLANIM'!$E$2:$E$100002="",0) + ($B8="") &gt; 0 ),
    IFERROR('STOK KULLANIM'!$H$2:$H$100002,0)*1
  ),
  $C8*1
)</f>
        <v>0</v>
      </c>
    </row>
    <row r="9" spans="1:5" x14ac:dyDescent="0.3">
      <c r="A9" s="34" t="s">
        <v>143</v>
      </c>
      <c r="B9" s="2"/>
      <c r="E9" cm="1">
        <f t="array" ref="E9">IFERROR(
  $C9*1 -
  SUMPRODUCT(
    --IFERROR('STOK KULLANIM'!$D$2:$D$100002=$A9,0),
    --IFERROR('STOK KULLANIM'!$I$2:$I$100002=$D9,0),
    --( IFERROR('STOK KULLANIM'!$E$2:$E$100002=$B9,0) + IFERROR('STOK KULLANIM'!$E$2:$E$100002="",0) + ($B9="") &gt; 0 ),
    IFERROR('STOK KULLANIM'!$H$2:$H$100002,0)*1
  ),
  $C9*1
)</f>
        <v>0</v>
      </c>
    </row>
    <row r="10" spans="1:5" x14ac:dyDescent="0.3">
      <c r="A10" s="33" t="s">
        <v>142</v>
      </c>
      <c r="B10" s="2"/>
      <c r="E10" cm="1">
        <f t="array" ref="E10">IFERROR(
  $C10*1 -
  SUMPRODUCT(
    --IFERROR('STOK KULLANIM'!$D$2:$D$100002=$A10,0),
    --IFERROR('STOK KULLANIM'!$I$2:$I$100002=$D10,0),
    --( IFERROR('STOK KULLANIM'!$E$2:$E$100002=$B10,0) + IFERROR('STOK KULLANIM'!$E$2:$E$100002="",0) + ($B10="") &gt; 0 ),
    IFERROR('STOK KULLANIM'!$H$2:$H$100002,0)*1
  ),
  $C10*1
)</f>
        <v>0</v>
      </c>
    </row>
    <row r="11" spans="1:5" x14ac:dyDescent="0.3">
      <c r="A11" s="34" t="s">
        <v>139</v>
      </c>
      <c r="B11" s="2"/>
      <c r="E11" cm="1">
        <f t="array" ref="E11">IFERROR(
  $C11*1 -
  SUMPRODUCT(
    --IFERROR('STOK KULLANIM'!$D$2:$D$100002=$A11,0),
    --IFERROR('STOK KULLANIM'!$I$2:$I$100002=$D11,0),
    --( IFERROR('STOK KULLANIM'!$E$2:$E$100002=$B11,0) + IFERROR('STOK KULLANIM'!$E$2:$E$100002="",0) + ($B11="") &gt; 0 ),
    IFERROR('STOK KULLANIM'!$H$2:$H$100002,0)*1
  ),
  $C11*1
)</f>
        <v>0</v>
      </c>
    </row>
    <row r="12" spans="1:5" x14ac:dyDescent="0.3">
      <c r="A12" s="33" t="s">
        <v>144</v>
      </c>
      <c r="B12" s="2"/>
      <c r="E12" cm="1">
        <f t="array" ref="E12">IFERROR(
  $C12*1 -
  SUMPRODUCT(
    --IFERROR('STOK KULLANIM'!$D$2:$D$100002=$A12,0),
    --IFERROR('STOK KULLANIM'!$I$2:$I$100002=$D12,0),
    --( IFERROR('STOK KULLANIM'!$E$2:$E$100002=$B12,0) + IFERROR('STOK KULLANIM'!$E$2:$E$100002="",0) + ($B12="") &gt; 0 ),
    IFERROR('STOK KULLANIM'!$H$2:$H$100002,0)*1
  ),
  $C12*1
)</f>
        <v>0</v>
      </c>
    </row>
    <row r="13" spans="1:5" x14ac:dyDescent="0.3">
      <c r="A13" s="34" t="s">
        <v>145</v>
      </c>
      <c r="B13" s="2"/>
      <c r="E13" cm="1">
        <f t="array" ref="E13">IFERROR(
  $C13*1 -
  SUMPRODUCT(
    --IFERROR('STOK KULLANIM'!$D$2:$D$100002=$A13,0),
    --IFERROR('STOK KULLANIM'!$I$2:$I$100002=$D13,0),
    --( IFERROR('STOK KULLANIM'!$E$2:$E$100002=$B13,0) + IFERROR('STOK KULLANIM'!$E$2:$E$100002="",0) + ($B13="") &gt; 0 ),
    IFERROR('STOK KULLANIM'!$H$2:$H$100002,0)*1
  ),
  $C13*1
)</f>
        <v>0</v>
      </c>
    </row>
    <row r="14" spans="1:5" x14ac:dyDescent="0.3">
      <c r="A14" s="33" t="s">
        <v>146</v>
      </c>
      <c r="B14" s="2"/>
      <c r="E14" cm="1">
        <f t="array" ref="E14">IFERROR(
  $C14*1 -
  SUMPRODUCT(
    --IFERROR('STOK KULLANIM'!$D$2:$D$100002=$A14,0),
    --IFERROR('STOK KULLANIM'!$I$2:$I$100002=$D14,0),
    --( IFERROR('STOK KULLANIM'!$E$2:$E$100002=$B14,0) + IFERROR('STOK KULLANIM'!$E$2:$E$100002="",0) + ($B14="") &gt; 0 ),
    IFERROR('STOK KULLANIM'!$H$2:$H$100002,0)*1
  ),
  $C14*1
)</f>
        <v>0</v>
      </c>
    </row>
    <row r="15" spans="1:5" x14ac:dyDescent="0.3">
      <c r="A15" s="34" t="s">
        <v>143</v>
      </c>
      <c r="B15" s="2"/>
      <c r="E15" cm="1">
        <f t="array" ref="E15">IFERROR(
  $C15*1 -
  SUMPRODUCT(
    --IFERROR('STOK KULLANIM'!$D$2:$D$100002=$A15,0),
    --IFERROR('STOK KULLANIM'!$I$2:$I$100002=$D15,0),
    --( IFERROR('STOK KULLANIM'!$E$2:$E$100002=$B15,0) + IFERROR('STOK KULLANIM'!$E$2:$E$100002="",0) + ($B15="") &gt; 0 ),
    IFERROR('STOK KULLANIM'!$H$2:$H$100002,0)*1
  ),
  $C15*1
)</f>
        <v>0</v>
      </c>
    </row>
    <row r="16" spans="1:5" x14ac:dyDescent="0.3">
      <c r="A16" s="33" t="s">
        <v>144</v>
      </c>
      <c r="B16" s="2"/>
      <c r="E16" cm="1">
        <f t="array" ref="E16">IFERROR(
  $C16*1 -
  SUMPRODUCT(
    --IFERROR('STOK KULLANIM'!$D$2:$D$100002=$A16,0),
    --IFERROR('STOK KULLANIM'!$I$2:$I$100002=$D16,0),
    --( IFERROR('STOK KULLANIM'!$E$2:$E$100002=$B16,0) + IFERROR('STOK KULLANIM'!$E$2:$E$100002="",0) + ($B16="") &gt; 0 ),
    IFERROR('STOK KULLANIM'!$H$2:$H$100002,0)*1
  ),
  $C16*1
)</f>
        <v>0</v>
      </c>
    </row>
    <row r="17" spans="1:5" x14ac:dyDescent="0.3">
      <c r="A17" s="34" t="s">
        <v>137</v>
      </c>
      <c r="B17" s="2" t="s">
        <v>52</v>
      </c>
      <c r="C17">
        <v>108</v>
      </c>
      <c r="D17">
        <v>6000</v>
      </c>
      <c r="E17" cm="1">
        <f t="array" ref="E17">IFERROR(
  $C17*1 -
  SUMPRODUCT(
    --IFERROR('STOK KULLANIM'!$D$2:$D$100002=$A17,0),
    --IFERROR('STOK KULLANIM'!$I$2:$I$100002=$D17,0),
    --( IFERROR('STOK KULLANIM'!$E$2:$E$100002=$B17,0) + IFERROR('STOK KULLANIM'!$E$2:$E$100002="",0) + ($B17="") &gt; 0 ),
    IFERROR('STOK KULLANIM'!$H$2:$H$100002,0)*1
  ),
  $C17*1
)</f>
        <v>108</v>
      </c>
    </row>
    <row r="18" spans="1:5" x14ac:dyDescent="0.3">
      <c r="A18" s="33" t="s">
        <v>138</v>
      </c>
      <c r="B18" s="2"/>
      <c r="E18" cm="1">
        <f t="array" ref="E18">IFERROR(
  $C18*1 -
  SUMPRODUCT(
    --IFERROR('STOK KULLANIM'!$D$2:$D$100002=$A18,0),
    --IFERROR('STOK KULLANIM'!$I$2:$I$100002=$D18,0),
    --( IFERROR('STOK KULLANIM'!$E$2:$E$100002=$B18,0) + IFERROR('STOK KULLANIM'!$E$2:$E$100002="",0) + ($B18="") &gt; 0 ),
    IFERROR('STOK KULLANIM'!$H$2:$H$100002,0)*1
  ),
  $C18*1
)</f>
        <v>0</v>
      </c>
    </row>
    <row r="19" spans="1:5" x14ac:dyDescent="0.3">
      <c r="A19" s="34" t="s">
        <v>147</v>
      </c>
      <c r="B19" s="2"/>
      <c r="E19" cm="1">
        <f t="array" ref="E19">IFERROR(
  $C19*1 -
  SUMPRODUCT(
    --IFERROR('STOK KULLANIM'!$D$2:$D$100002=$A19,0),
    --IFERROR('STOK KULLANIM'!$I$2:$I$100002=$D19,0),
    --( IFERROR('STOK KULLANIM'!$E$2:$E$100002=$B19,0) + IFERROR('STOK KULLANIM'!$E$2:$E$100002="",0) + ($B19="") &gt; 0 ),
    IFERROR('STOK KULLANIM'!$H$2:$H$100002,0)*1
  ),
  $C19*1
)</f>
        <v>0</v>
      </c>
    </row>
    <row r="20" spans="1:5" ht="28.8" x14ac:dyDescent="0.3">
      <c r="A20" s="33" t="s">
        <v>148</v>
      </c>
      <c r="B20" s="2"/>
      <c r="E20" cm="1">
        <f t="array" ref="E20">IFERROR(
  $C20*1 -
  SUMPRODUCT(
    --IFERROR('STOK KULLANIM'!$D$2:$D$100002=$A20,0),
    --IFERROR('STOK KULLANIM'!$I$2:$I$100002=$D20,0),
    --( IFERROR('STOK KULLANIM'!$E$2:$E$100002=$B20,0) + IFERROR('STOK KULLANIM'!$E$2:$E$100002="",0) + ($B20="") &gt; 0 ),
    IFERROR('STOK KULLANIM'!$H$2:$H$100002,0)*1
  ),
  $C20*1
)</f>
        <v>0</v>
      </c>
    </row>
    <row r="21" spans="1:5" x14ac:dyDescent="0.3">
      <c r="A21" s="34" t="s">
        <v>149</v>
      </c>
      <c r="B21" s="2"/>
      <c r="E21" cm="1">
        <f t="array" ref="E21">IFERROR(
  $C21*1 -
  SUMPRODUCT(
    --IFERROR('STOK KULLANIM'!$D$2:$D$100002=$A21,0),
    --IFERROR('STOK KULLANIM'!$I$2:$I$100002=$D21,0),
    --( IFERROR('STOK KULLANIM'!$E$2:$E$100002=$B21,0) + IFERROR('STOK KULLANIM'!$E$2:$E$100002="",0) + ($B21="") &gt; 0 ),
    IFERROR('STOK KULLANIM'!$H$2:$H$100002,0)*1
  ),
  $C21*1
)</f>
        <v>0</v>
      </c>
    </row>
    <row r="22" spans="1:5" x14ac:dyDescent="0.3">
      <c r="A22" s="33" t="s">
        <v>149</v>
      </c>
      <c r="B22" s="2"/>
      <c r="E22" cm="1">
        <f t="array" ref="E22">IFERROR(
  $C22*1 -
  SUMPRODUCT(
    --IFERROR('STOK KULLANIM'!$D$2:$D$100002=$A22,0),
    --IFERROR('STOK KULLANIM'!$I$2:$I$100002=$D22,0),
    --( IFERROR('STOK KULLANIM'!$E$2:$E$100002=$B22,0) + IFERROR('STOK KULLANIM'!$E$2:$E$100002="",0) + ($B22="") &gt; 0 ),
    IFERROR('STOK KULLANIM'!$H$2:$H$100002,0)*1
  ),
  $C22*1
)</f>
        <v>0</v>
      </c>
    </row>
    <row r="23" spans="1:5" x14ac:dyDescent="0.3">
      <c r="A23" s="34" t="s">
        <v>143</v>
      </c>
      <c r="B23" s="2"/>
      <c r="E23" cm="1">
        <f t="array" ref="E23">IFERROR(
  $C23*1 -
  SUMPRODUCT(
    --IFERROR('STOK KULLANIM'!$D$2:$D$100002=$A23,0),
    --IFERROR('STOK KULLANIM'!$I$2:$I$100002=$D23,0),
    --( IFERROR('STOK KULLANIM'!$E$2:$E$100002=$B23,0) + IFERROR('STOK KULLANIM'!$E$2:$E$100002="",0) + ($B23="") &gt; 0 ),
    IFERROR('STOK KULLANIM'!$H$2:$H$100002,0)*1
  ),
  $C23*1
)</f>
        <v>0</v>
      </c>
    </row>
    <row r="24" spans="1:5" x14ac:dyDescent="0.3">
      <c r="A24" s="33" t="s">
        <v>150</v>
      </c>
      <c r="B24" s="2"/>
      <c r="E24" cm="1">
        <f t="array" ref="E24">IFERROR(
  $C24*1 -
  SUMPRODUCT(
    --IFERROR('STOK KULLANIM'!$D$2:$D$100002=$A24,0),
    --IFERROR('STOK KULLANIM'!$I$2:$I$100002=$D24,0),
    --( IFERROR('STOK KULLANIM'!$E$2:$E$100002=$B24,0) + IFERROR('STOK KULLANIM'!$E$2:$E$100002="",0) + ($B24="") &gt; 0 ),
    IFERROR('STOK KULLANIM'!$H$2:$H$100002,0)*1
  ),
  $C24*1
)</f>
        <v>0</v>
      </c>
    </row>
    <row r="25" spans="1:5" x14ac:dyDescent="0.3">
      <c r="A25" s="34" t="s">
        <v>137</v>
      </c>
      <c r="B25" s="2"/>
      <c r="E25" cm="1">
        <f t="array" ref="E25">IFERROR(
  $C25*1 -
  SUMPRODUCT(
    --IFERROR('STOK KULLANIM'!$D$2:$D$100002=$A25,0),
    --IFERROR('STOK KULLANIM'!$I$2:$I$100002=$D25,0),
    --( IFERROR('STOK KULLANIM'!$E$2:$E$100002=$B25,0) + IFERROR('STOK KULLANIM'!$E$2:$E$100002="",0) + ($B25="") &gt; 0 ),
    IFERROR('STOK KULLANIM'!$H$2:$H$100002,0)*1
  ),
  $C25*1
)</f>
        <v>0</v>
      </c>
    </row>
    <row r="26" spans="1:5" x14ac:dyDescent="0.3">
      <c r="A26" s="33" t="s">
        <v>151</v>
      </c>
      <c r="B26" s="2"/>
      <c r="E26" cm="1">
        <f t="array" ref="E26">IFERROR(
  $C26*1 -
  SUMPRODUCT(
    --IFERROR('STOK KULLANIM'!$D$2:$D$100002=$A26,0),
    --IFERROR('STOK KULLANIM'!$I$2:$I$100002=$D26,0),
    --( IFERROR('STOK KULLANIM'!$E$2:$E$100002=$B26,0) + IFERROR('STOK KULLANIM'!$E$2:$E$100002="",0) + ($B26="") &gt; 0 ),
    IFERROR('STOK KULLANIM'!$H$2:$H$100002,0)*1
  ),
  $C26*1
)</f>
        <v>0</v>
      </c>
    </row>
    <row r="27" spans="1:5" x14ac:dyDescent="0.3">
      <c r="A27" s="34" t="s">
        <v>139</v>
      </c>
      <c r="B27" s="2"/>
      <c r="E27" cm="1">
        <f t="array" ref="E27">IFERROR(
  $C27*1 -
  SUMPRODUCT(
    --IFERROR('STOK KULLANIM'!$D$2:$D$100002=$A27,0),
    --IFERROR('STOK KULLANIM'!$I$2:$I$100002=$D27,0),
    --( IFERROR('STOK KULLANIM'!$E$2:$E$100002=$B27,0) + IFERROR('STOK KULLANIM'!$E$2:$E$100002="",0) + ($B27="") &gt; 0 ),
    IFERROR('STOK KULLANIM'!$H$2:$H$100002,0)*1
  ),
  $C27*1
)</f>
        <v>0</v>
      </c>
    </row>
    <row r="28" spans="1:5" x14ac:dyDescent="0.3">
      <c r="A28" s="33" t="s">
        <v>144</v>
      </c>
      <c r="B28" s="2"/>
      <c r="E28" cm="1">
        <f t="array" ref="E28">IFERROR(
  $C28*1 -
  SUMPRODUCT(
    --IFERROR('STOK KULLANIM'!$D$2:$D$100002=$A28,0),
    --IFERROR('STOK KULLANIM'!$I$2:$I$100002=$D28,0),
    --( IFERROR('STOK KULLANIM'!$E$2:$E$100002=$B28,0) + IFERROR('STOK KULLANIM'!$E$2:$E$100002="",0) + ($B28="") &gt; 0 ),
    IFERROR('STOK KULLANIM'!$H$2:$H$100002,0)*1
  ),
  $C28*1
)</f>
        <v>0</v>
      </c>
    </row>
    <row r="29" spans="1:5" x14ac:dyDescent="0.3">
      <c r="A29" s="34" t="s">
        <v>139</v>
      </c>
      <c r="B29" s="2"/>
      <c r="E29" cm="1">
        <f t="array" ref="E29">IFERROR(
  $C29*1 -
  SUMPRODUCT(
    --IFERROR('STOK KULLANIM'!$D$2:$D$100002=$A29,0),
    --IFERROR('STOK KULLANIM'!$I$2:$I$100002=$D29,0),
    --( IFERROR('STOK KULLANIM'!$E$2:$E$100002=$B29,0) + IFERROR('STOK KULLANIM'!$E$2:$E$100002="",0) + ($B29="") &gt; 0 ),
    IFERROR('STOK KULLANIM'!$H$2:$H$100002,0)*1
  ),
  $C29*1
)</f>
        <v>0</v>
      </c>
    </row>
    <row r="30" spans="1:5" x14ac:dyDescent="0.3">
      <c r="A30" s="25"/>
      <c r="B30" s="2"/>
    </row>
    <row r="31" spans="1:5" x14ac:dyDescent="0.3">
      <c r="A31" s="25"/>
      <c r="B31" s="2"/>
    </row>
    <row r="32" spans="1:5" x14ac:dyDescent="0.3">
      <c r="A32" s="25"/>
      <c r="B32" s="2"/>
    </row>
    <row r="33" spans="1:2" x14ac:dyDescent="0.3">
      <c r="A33" s="25"/>
      <c r="B33" s="2"/>
    </row>
    <row r="34" spans="1:2" x14ac:dyDescent="0.3">
      <c r="A34" s="25"/>
      <c r="B34" s="2"/>
    </row>
    <row r="35" spans="1:2" x14ac:dyDescent="0.3">
      <c r="A35" s="25"/>
      <c r="B35" s="2"/>
    </row>
    <row r="36" spans="1:2" x14ac:dyDescent="0.3">
      <c r="A36" s="25"/>
      <c r="B36" s="2"/>
    </row>
    <row r="37" spans="1:2" x14ac:dyDescent="0.3">
      <c r="A37" s="25"/>
      <c r="B37" s="2"/>
    </row>
    <row r="38" spans="1:2" x14ac:dyDescent="0.3">
      <c r="A38" s="25"/>
      <c r="B38" s="2"/>
    </row>
    <row r="39" spans="1:2" x14ac:dyDescent="0.3">
      <c r="A39" s="25"/>
      <c r="B39" s="2"/>
    </row>
    <row r="40" spans="1:2" x14ac:dyDescent="0.3">
      <c r="A40" s="25"/>
      <c r="B40" s="2"/>
    </row>
    <row r="41" spans="1:2" x14ac:dyDescent="0.3">
      <c r="A41" s="25"/>
      <c r="B41" s="2"/>
    </row>
    <row r="42" spans="1:2" x14ac:dyDescent="0.3">
      <c r="A42" s="25"/>
      <c r="B42" s="2"/>
    </row>
    <row r="43" spans="1:2" x14ac:dyDescent="0.3">
      <c r="A43" s="25"/>
      <c r="B43" s="2"/>
    </row>
    <row r="44" spans="1:2" x14ac:dyDescent="0.3">
      <c r="A44" s="25"/>
      <c r="B44" s="2"/>
    </row>
    <row r="45" spans="1:2" x14ac:dyDescent="0.3">
      <c r="A45" s="25"/>
      <c r="B45" s="2"/>
    </row>
    <row r="46" spans="1:2" x14ac:dyDescent="0.3">
      <c r="A46" s="25"/>
      <c r="B46" s="2"/>
    </row>
    <row r="47" spans="1:2" x14ac:dyDescent="0.3">
      <c r="A47" s="25"/>
      <c r="B47" s="2"/>
    </row>
    <row r="48" spans="1:2" x14ac:dyDescent="0.3">
      <c r="A48" s="25"/>
      <c r="B48" s="2"/>
    </row>
    <row r="49" spans="1:2" x14ac:dyDescent="0.3">
      <c r="A49" s="25"/>
      <c r="B49" s="2"/>
    </row>
    <row r="50" spans="1:2" x14ac:dyDescent="0.3">
      <c r="A50" s="25"/>
      <c r="B50" s="2"/>
    </row>
    <row r="51" spans="1:2" x14ac:dyDescent="0.3">
      <c r="A51" s="25"/>
      <c r="B51" s="2"/>
    </row>
    <row r="52" spans="1:2" x14ac:dyDescent="0.3">
      <c r="A52" s="25"/>
      <c r="B52" s="2"/>
    </row>
    <row r="53" spans="1:2" x14ac:dyDescent="0.3">
      <c r="A53" s="25"/>
      <c r="B53" s="2"/>
    </row>
    <row r="54" spans="1:2" x14ac:dyDescent="0.3">
      <c r="A54" s="25"/>
      <c r="B54" s="2"/>
    </row>
    <row r="55" spans="1:2" x14ac:dyDescent="0.3">
      <c r="A55" s="25"/>
      <c r="B55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0E19-E64D-4D1B-8A13-2D128808DFBE}">
  <dimension ref="A1:E55"/>
  <sheetViews>
    <sheetView workbookViewId="0">
      <selection activeCell="C4" sqref="C4"/>
    </sheetView>
  </sheetViews>
  <sheetFormatPr defaultRowHeight="14.4" x14ac:dyDescent="0.3"/>
  <cols>
    <col min="1" max="1" width="11.5546875" customWidth="1"/>
    <col min="2" max="2" width="9.109375" customWidth="1"/>
    <col min="4" max="4" width="11.21875" customWidth="1"/>
    <col min="5" max="5" width="13.5546875" customWidth="1"/>
  </cols>
  <sheetData>
    <row r="1" spans="1:5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</row>
    <row r="2" spans="1:5" x14ac:dyDescent="0.3">
      <c r="A2" s="33" t="s">
        <v>152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</row>
    <row r="3" spans="1:5" x14ac:dyDescent="0.3">
      <c r="A3" s="34" t="s">
        <v>152</v>
      </c>
      <c r="B3" s="2" t="s">
        <v>52</v>
      </c>
      <c r="C3">
        <v>48</v>
      </c>
      <c r="D3">
        <v>12000</v>
      </c>
      <c r="E3" cm="1">
        <f t="array" ref="E3">IFERROR(
  $C3*1 -
  SUMPRODUCT(
    --IFERROR('STOK KULLANIM'!$D$2:$D$100002=$A3,0),
    --IFERROR('STOK KULLANIM'!$I$2:$I$100002=$D3,0),
    --( IFERROR('STOK KULLANIM'!$E$2:$E$100002=$B3,0) + IFERROR('STOK KULLANIM'!$E$2:$E$100002="",0) + ($B3="") &gt; 0 ),
    IFERROR('STOK KULLANIM'!$H$2:$H$100002,0)*1
  ),
  $C3*1
)</f>
        <v>48</v>
      </c>
    </row>
    <row r="4" spans="1:5" x14ac:dyDescent="0.3">
      <c r="A4" s="33" t="s">
        <v>152</v>
      </c>
      <c r="B4" s="2"/>
      <c r="E4" cm="1">
        <f t="array" ref="E4">IFERROR(
  $C4*1 -
  SUMPRODUCT(
    --IFERROR('STOK KULLANIM'!$D$2:$D$100002=$A4,0),
    --IFERROR('STOK KULLANIM'!$I$2:$I$100002=$D4,0),
    --( IFERROR('STOK KULLANIM'!$E$2:$E$100002=$B4,0) + IFERROR('STOK KULLANIM'!$E$2:$E$100002="",0) + ($B4="") &gt; 0 ),
    IFERROR('STOK KULLANIM'!$H$2:$H$100002,0)*1
  ),
  $C4*1
)</f>
        <v>0</v>
      </c>
    </row>
    <row r="5" spans="1:5" x14ac:dyDescent="0.3">
      <c r="A5" s="34" t="s">
        <v>152</v>
      </c>
      <c r="B5" s="2"/>
      <c r="E5" cm="1">
        <f t="array" ref="E5">IFERROR(
  $C5*1 -
  SUMPRODUCT(
    --IFERROR('STOK KULLANIM'!$D$2:$D$100002=$A5,0),
    --IFERROR('STOK KULLANIM'!$I$2:$I$100002=$D5,0),
    --( IFERROR('STOK KULLANIM'!$E$2:$E$100002=$B5,0) + IFERROR('STOK KULLANIM'!$E$2:$E$100002="",0) + ($B5="") &gt; 0 ),
    IFERROR('STOK KULLANIM'!$H$2:$H$100002,0)*1
  ),
  $C5*1
)</f>
        <v>0</v>
      </c>
    </row>
    <row r="6" spans="1:5" x14ac:dyDescent="0.3">
      <c r="A6" s="33" t="s">
        <v>153</v>
      </c>
      <c r="B6" s="2"/>
      <c r="E6" cm="1">
        <f t="array" ref="E6">IFERROR(
  $C6*1 -
  SUMPRODUCT(
    --IFERROR('STOK KULLANIM'!$D$2:$D$100002=$A6,0),
    --IFERROR('STOK KULLANIM'!$I$2:$I$100002=$D6,0),
    --( IFERROR('STOK KULLANIM'!$E$2:$E$100002=$B6,0) + IFERROR('STOK KULLANIM'!$E$2:$E$100002="",0) + ($B6="") &gt; 0 ),
    IFERROR('STOK KULLANIM'!$H$2:$H$100002,0)*1
  ),
  $C6*1
)</f>
        <v>0</v>
      </c>
    </row>
    <row r="7" spans="1:5" x14ac:dyDescent="0.3">
      <c r="A7" s="34" t="s">
        <v>154</v>
      </c>
      <c r="B7" s="2"/>
      <c r="E7" cm="1">
        <f t="array" ref="E7">IFERROR(
  $C7*1 -
  SUMPRODUCT(
    --IFERROR('STOK KULLANIM'!$D$2:$D$100002=$A7,0),
    --IFERROR('STOK KULLANIM'!$I$2:$I$100002=$D7,0),
    --( IFERROR('STOK KULLANIM'!$E$2:$E$100002=$B7,0) + IFERROR('STOK KULLANIM'!$E$2:$E$100002="",0) + ($B7="") &gt; 0 ),
    IFERROR('STOK KULLANIM'!$H$2:$H$100002,0)*1
  ),
  $C7*1
)</f>
        <v>0</v>
      </c>
    </row>
    <row r="8" spans="1:5" x14ac:dyDescent="0.3">
      <c r="A8" s="33" t="s">
        <v>154</v>
      </c>
      <c r="B8" s="2"/>
      <c r="E8" cm="1">
        <f t="array" ref="E8">IFERROR(
  $C8*1 -
  SUMPRODUCT(
    --IFERROR('STOK KULLANIM'!$D$2:$D$100002=$A8,0),
    --IFERROR('STOK KULLANIM'!$I$2:$I$100002=$D8,0),
    --( IFERROR('STOK KULLANIM'!$E$2:$E$100002=$B8,0) + IFERROR('STOK KULLANIM'!$E$2:$E$100002="",0) + ($B8="") &gt; 0 ),
    IFERROR('STOK KULLANIM'!$H$2:$H$100002,0)*1
  ),
  $C8*1
)</f>
        <v>0</v>
      </c>
    </row>
    <row r="9" spans="1:5" x14ac:dyDescent="0.3">
      <c r="A9" s="34" t="s">
        <v>155</v>
      </c>
      <c r="B9" s="2"/>
      <c r="E9" cm="1">
        <f t="array" ref="E9">IFERROR(
  $C9*1 -
  SUMPRODUCT(
    --IFERROR('STOK KULLANIM'!$D$2:$D$100002=$A9,0),
    --IFERROR('STOK KULLANIM'!$I$2:$I$100002=$D9,0),
    --( IFERROR('STOK KULLANIM'!$E$2:$E$100002=$B9,0) + IFERROR('STOK KULLANIM'!$E$2:$E$100002="",0) + ($B9="") &gt; 0 ),
    IFERROR('STOK KULLANIM'!$H$2:$H$100002,0)*1
  ),
  $C9*1
)</f>
        <v>0</v>
      </c>
    </row>
    <row r="10" spans="1:5" x14ac:dyDescent="0.3">
      <c r="A10" s="33" t="s">
        <v>155</v>
      </c>
      <c r="B10" s="2"/>
      <c r="E10" cm="1">
        <f t="array" ref="E10">IFERROR(
  $C10*1 -
  SUMPRODUCT(
    --IFERROR('STOK KULLANIM'!$D$2:$D$100002=$A10,0),
    --IFERROR('STOK KULLANIM'!$I$2:$I$100002=$D10,0),
    --( IFERROR('STOK KULLANIM'!$E$2:$E$100002=$B10,0) + IFERROR('STOK KULLANIM'!$E$2:$E$100002="",0) + ($B10="") &gt; 0 ),
    IFERROR('STOK KULLANIM'!$H$2:$H$100002,0)*1
  ),
  $C10*1
)</f>
        <v>0</v>
      </c>
    </row>
    <row r="11" spans="1:5" x14ac:dyDescent="0.3">
      <c r="A11" s="34" t="s">
        <v>155</v>
      </c>
      <c r="B11" s="2"/>
      <c r="E11" cm="1">
        <f t="array" ref="E11">IFERROR(
  $C11*1 -
  SUMPRODUCT(
    --IFERROR('STOK KULLANIM'!$D$2:$D$100002=$A11,0),
    --IFERROR('STOK KULLANIM'!$I$2:$I$100002=$D11,0),
    --( IFERROR('STOK KULLANIM'!$E$2:$E$100002=$B11,0) + IFERROR('STOK KULLANIM'!$E$2:$E$100002="",0) + ($B11="") &gt; 0 ),
    IFERROR('STOK KULLANIM'!$H$2:$H$100002,0)*1
  ),
  $C11*1
)</f>
        <v>0</v>
      </c>
    </row>
    <row r="12" spans="1:5" x14ac:dyDescent="0.3">
      <c r="A12" s="33" t="s">
        <v>155</v>
      </c>
      <c r="B12" s="2"/>
      <c r="E12" cm="1">
        <f t="array" ref="E12">IFERROR(
  $C12*1 -
  SUMPRODUCT(
    --IFERROR('STOK KULLANIM'!$D$2:$D$100002=$A12,0),
    --IFERROR('STOK KULLANIM'!$I$2:$I$100002=$D12,0),
    --( IFERROR('STOK KULLANIM'!$E$2:$E$100002=$B12,0) + IFERROR('STOK KULLANIM'!$E$2:$E$100002="",0) + ($B12="") &gt; 0 ),
    IFERROR('STOK KULLANIM'!$H$2:$H$100002,0)*1
  ),
  $C12*1
)</f>
        <v>0</v>
      </c>
    </row>
    <row r="13" spans="1:5" x14ac:dyDescent="0.3">
      <c r="A13" s="34" t="s">
        <v>156</v>
      </c>
      <c r="B13" s="2"/>
      <c r="E13" cm="1">
        <f t="array" ref="E13">IFERROR(
  $C13*1 -
  SUMPRODUCT(
    --IFERROR('STOK KULLANIM'!$D$2:$D$100002=$A13,0),
    --IFERROR('STOK KULLANIM'!$I$2:$I$100002=$D13,0),
    --( IFERROR('STOK KULLANIM'!$E$2:$E$100002=$B13,0) + IFERROR('STOK KULLANIM'!$E$2:$E$100002="",0) + ($B13="") &gt; 0 ),
    IFERROR('STOK KULLANIM'!$H$2:$H$100002,0)*1
  ),
  $C13*1
)</f>
        <v>0</v>
      </c>
    </row>
    <row r="14" spans="1:5" x14ac:dyDescent="0.3">
      <c r="A14" s="33" t="s">
        <v>156</v>
      </c>
      <c r="B14" s="2"/>
      <c r="E14" cm="1">
        <f t="array" ref="E14">IFERROR(
  $C14*1 -
  SUMPRODUCT(
    --IFERROR('STOK KULLANIM'!$D$2:$D$100002=$A14,0),
    --IFERROR('STOK KULLANIM'!$I$2:$I$100002=$D14,0),
    --( IFERROR('STOK KULLANIM'!$E$2:$E$100002=$B14,0) + IFERROR('STOK KULLANIM'!$E$2:$E$100002="",0) + ($B14="") &gt; 0 ),
    IFERROR('STOK KULLANIM'!$H$2:$H$100002,0)*1
  ),
  $C14*1
)</f>
        <v>0</v>
      </c>
    </row>
    <row r="15" spans="1:5" x14ac:dyDescent="0.3">
      <c r="A15" s="34" t="s">
        <v>156</v>
      </c>
      <c r="B15" s="2"/>
      <c r="E15" cm="1">
        <f t="array" ref="E15">IFERROR(
  $C15*1 -
  SUMPRODUCT(
    --IFERROR('STOK KULLANIM'!$D$2:$D$100002=$A15,0),
    --IFERROR('STOK KULLANIM'!$I$2:$I$100002=$D15,0),
    --( IFERROR('STOK KULLANIM'!$E$2:$E$100002=$B15,0) + IFERROR('STOK KULLANIM'!$E$2:$E$100002="",0) + ($B15="") &gt; 0 ),
    IFERROR('STOK KULLANIM'!$H$2:$H$100002,0)*1
  ),
  $C15*1
)</f>
        <v>0</v>
      </c>
    </row>
    <row r="16" spans="1:5" x14ac:dyDescent="0.3">
      <c r="A16" s="33" t="s">
        <v>156</v>
      </c>
      <c r="B16" s="2"/>
      <c r="E16" cm="1">
        <f t="array" ref="E16">IFERROR(
  $C16*1 -
  SUMPRODUCT(
    --IFERROR('STOK KULLANIM'!$D$2:$D$100002=$A16,0),
    --IFERROR('STOK KULLANIM'!$I$2:$I$100002=$D16,0),
    --( IFERROR('STOK KULLANIM'!$E$2:$E$100002=$B16,0) + IFERROR('STOK KULLANIM'!$E$2:$E$100002="",0) + ($B16="") &gt; 0 ),
    IFERROR('STOK KULLANIM'!$H$2:$H$100002,0)*1
  ),
  $C16*1
)</f>
        <v>0</v>
      </c>
    </row>
    <row r="17" spans="1:5" x14ac:dyDescent="0.3">
      <c r="A17" s="34" t="s">
        <v>156</v>
      </c>
      <c r="B17" s="2" t="s">
        <v>52</v>
      </c>
      <c r="C17">
        <v>108</v>
      </c>
      <c r="D17">
        <v>6000</v>
      </c>
      <c r="E17" cm="1">
        <f t="array" ref="E17">IFERROR(
  $C17*1 -
  SUMPRODUCT(
    --IFERROR('STOK KULLANIM'!$D$2:$D$100002=$A17,0),
    --IFERROR('STOK KULLANIM'!$I$2:$I$100002=$D17,0),
    --( IFERROR('STOK KULLANIM'!$E$2:$E$100002=$B17,0) + IFERROR('STOK KULLANIM'!$E$2:$E$100002="",0) + ($B17="") &gt; 0 ),
    IFERROR('STOK KULLANIM'!$H$2:$H$100002,0)*1
  ),
  $C17*1
)</f>
        <v>108</v>
      </c>
    </row>
    <row r="18" spans="1:5" x14ac:dyDescent="0.3">
      <c r="A18" s="33" t="s">
        <v>156</v>
      </c>
      <c r="B18" s="2"/>
      <c r="E18" cm="1">
        <f t="array" ref="E18">IFERROR(
  $C18*1 -
  SUMPRODUCT(
    --IFERROR('STOK KULLANIM'!$D$2:$D$100002=$A18,0),
    --IFERROR('STOK KULLANIM'!$I$2:$I$100002=$D18,0),
    --( IFERROR('STOK KULLANIM'!$E$2:$E$100002=$B18,0) + IFERROR('STOK KULLANIM'!$E$2:$E$100002="",0) + ($B18="") &gt; 0 ),
    IFERROR('STOK KULLANIM'!$H$2:$H$100002,0)*1
  ),
  $C18*1
)</f>
        <v>0</v>
      </c>
    </row>
    <row r="19" spans="1:5" x14ac:dyDescent="0.3">
      <c r="A19" s="34" t="s">
        <v>157</v>
      </c>
      <c r="B19" s="2"/>
      <c r="E19" cm="1">
        <f t="array" ref="E19">IFERROR(
  $C19*1 -
  SUMPRODUCT(
    --IFERROR('STOK KULLANIM'!$D$2:$D$100002=$A19,0),
    --IFERROR('STOK KULLANIM'!$I$2:$I$100002=$D19,0),
    --( IFERROR('STOK KULLANIM'!$E$2:$E$100002=$B19,0) + IFERROR('STOK KULLANIM'!$E$2:$E$100002="",0) + ($B19="") &gt; 0 ),
    IFERROR('STOK KULLANIM'!$H$2:$H$100002,0)*1
  ),
  $C19*1
)</f>
        <v>0</v>
      </c>
    </row>
    <row r="20" spans="1:5" x14ac:dyDescent="0.3">
      <c r="A20" s="33" t="s">
        <v>157</v>
      </c>
      <c r="B20" s="2"/>
      <c r="E20" cm="1">
        <f t="array" ref="E20">IFERROR(
  $C20*1 -
  SUMPRODUCT(
    --IFERROR('STOK KULLANIM'!$D$2:$D$100002=$A20,0),
    --IFERROR('STOK KULLANIM'!$I$2:$I$100002=$D20,0),
    --( IFERROR('STOK KULLANIM'!$E$2:$E$100002=$B20,0) + IFERROR('STOK KULLANIM'!$E$2:$E$100002="",0) + ($B20="") &gt; 0 ),
    IFERROR('STOK KULLANIM'!$H$2:$H$100002,0)*1
  ),
  $C20*1
)</f>
        <v>0</v>
      </c>
    </row>
    <row r="21" spans="1:5" x14ac:dyDescent="0.3">
      <c r="A21" s="34" t="s">
        <v>157</v>
      </c>
      <c r="B21" s="2"/>
      <c r="E21" cm="1">
        <f t="array" ref="E21">IFERROR(
  $C21*1 -
  SUMPRODUCT(
    --IFERROR('STOK KULLANIM'!$D$2:$D$100002=$A21,0),
    --IFERROR('STOK KULLANIM'!$I$2:$I$100002=$D21,0),
    --( IFERROR('STOK KULLANIM'!$E$2:$E$100002=$B21,0) + IFERROR('STOK KULLANIM'!$E$2:$E$100002="",0) + ($B21="") &gt; 0 ),
    IFERROR('STOK KULLANIM'!$H$2:$H$100002,0)*1
  ),
  $C21*1
)</f>
        <v>0</v>
      </c>
    </row>
    <row r="22" spans="1:5" x14ac:dyDescent="0.3">
      <c r="A22" s="33" t="s">
        <v>158</v>
      </c>
      <c r="B22" s="2"/>
      <c r="E22" cm="1">
        <f t="array" ref="E22">IFERROR(
  $C22*1 -
  SUMPRODUCT(
    --IFERROR('STOK KULLANIM'!$D$2:$D$100002=$A22,0),
    --IFERROR('STOK KULLANIM'!$I$2:$I$100002=$D22,0),
    --( IFERROR('STOK KULLANIM'!$E$2:$E$100002=$B22,0) + IFERROR('STOK KULLANIM'!$E$2:$E$100002="",0) + ($B22="") &gt; 0 ),
    IFERROR('STOK KULLANIM'!$H$2:$H$100002,0)*1
  ),
  $C22*1
)</f>
        <v>0</v>
      </c>
    </row>
    <row r="23" spans="1:5" x14ac:dyDescent="0.3">
      <c r="A23" s="34" t="s">
        <v>158</v>
      </c>
      <c r="B23" s="2"/>
      <c r="E23" cm="1">
        <f t="array" ref="E23">IFERROR(
  $C23*1 -
  SUMPRODUCT(
    --IFERROR('STOK KULLANIM'!$D$2:$D$100002=$A23,0),
    --IFERROR('STOK KULLANIM'!$I$2:$I$100002=$D23,0),
    --( IFERROR('STOK KULLANIM'!$E$2:$E$100002=$B23,0) + IFERROR('STOK KULLANIM'!$E$2:$E$100002="",0) + ($B23="") &gt; 0 ),
    IFERROR('STOK KULLANIM'!$H$2:$H$100002,0)*1
  ),
  $C23*1
)</f>
        <v>0</v>
      </c>
    </row>
    <row r="24" spans="1:5" x14ac:dyDescent="0.3">
      <c r="A24" s="33" t="s">
        <v>158</v>
      </c>
      <c r="B24" s="2"/>
      <c r="E24" cm="1">
        <f t="array" ref="E24">IFERROR(
  $C24*1 -
  SUMPRODUCT(
    --IFERROR('STOK KULLANIM'!$D$2:$D$100002=$A24,0),
    --IFERROR('STOK KULLANIM'!$I$2:$I$100002=$D24,0),
    --( IFERROR('STOK KULLANIM'!$E$2:$E$100002=$B24,0) + IFERROR('STOK KULLANIM'!$E$2:$E$100002="",0) + ($B24="") &gt; 0 ),
    IFERROR('STOK KULLANIM'!$H$2:$H$100002,0)*1
  ),
  $C24*1
)</f>
        <v>0</v>
      </c>
    </row>
    <row r="25" spans="1:5" x14ac:dyDescent="0.3">
      <c r="A25" s="34" t="s">
        <v>158</v>
      </c>
      <c r="B25" s="2"/>
      <c r="E25" cm="1">
        <f t="array" ref="E25">IFERROR(
  $C25*1 -
  SUMPRODUCT(
    --IFERROR('STOK KULLANIM'!$D$2:$D$100002=$A25,0),
    --IFERROR('STOK KULLANIM'!$I$2:$I$100002=$D25,0),
    --( IFERROR('STOK KULLANIM'!$E$2:$E$100002=$B25,0) + IFERROR('STOK KULLANIM'!$E$2:$E$100002="",0) + ($B25="") &gt; 0 ),
    IFERROR('STOK KULLANIM'!$H$2:$H$100002,0)*1
  ),
  $C25*1
)</f>
        <v>0</v>
      </c>
    </row>
    <row r="26" spans="1:5" x14ac:dyDescent="0.3">
      <c r="A26" s="33" t="s">
        <v>158</v>
      </c>
      <c r="B26" s="2"/>
      <c r="E26" cm="1">
        <f t="array" ref="E26">IFERROR(
  $C26*1 -
  SUMPRODUCT(
    --IFERROR('STOK KULLANIM'!$D$2:$D$100002=$A26,0),
    --IFERROR('STOK KULLANIM'!$I$2:$I$100002=$D26,0),
    --( IFERROR('STOK KULLANIM'!$E$2:$E$100002=$B26,0) + IFERROR('STOK KULLANIM'!$E$2:$E$100002="",0) + ($B26="") &gt; 0 ),
    IFERROR('STOK KULLANIM'!$H$2:$H$100002,0)*1
  ),
  $C26*1
)</f>
        <v>0</v>
      </c>
    </row>
    <row r="27" spans="1:5" x14ac:dyDescent="0.3">
      <c r="A27" s="34" t="s">
        <v>158</v>
      </c>
      <c r="B27" s="2"/>
      <c r="E27" cm="1">
        <f t="array" ref="E27">IFERROR(
  $C27*1 -
  SUMPRODUCT(
    --IFERROR('STOK KULLANIM'!$D$2:$D$100002=$A27,0),
    --IFERROR('STOK KULLANIM'!$I$2:$I$100002=$D27,0),
    --( IFERROR('STOK KULLANIM'!$E$2:$E$100002=$B27,0) + IFERROR('STOK KULLANIM'!$E$2:$E$100002="",0) + ($B27="") &gt; 0 ),
    IFERROR('STOK KULLANIM'!$H$2:$H$100002,0)*1
  ),
  $C27*1
)</f>
        <v>0</v>
      </c>
    </row>
    <row r="28" spans="1:5" x14ac:dyDescent="0.3">
      <c r="A28" s="33" t="s">
        <v>158</v>
      </c>
      <c r="B28" s="2"/>
      <c r="E28" cm="1">
        <f t="array" ref="E28">IFERROR(
  $C28*1 -
  SUMPRODUCT(
    --IFERROR('STOK KULLANIM'!$D$2:$D$100002=$A28,0),
    --IFERROR('STOK KULLANIM'!$I$2:$I$100002=$D28,0),
    --( IFERROR('STOK KULLANIM'!$E$2:$E$100002=$B28,0) + IFERROR('STOK KULLANIM'!$E$2:$E$100002="",0) + ($B28="") &gt; 0 ),
    IFERROR('STOK KULLANIM'!$H$2:$H$100002,0)*1
  ),
  $C28*1
)</f>
        <v>0</v>
      </c>
    </row>
    <row r="29" spans="1:5" x14ac:dyDescent="0.3">
      <c r="A29" s="34" t="s">
        <v>158</v>
      </c>
      <c r="B29" s="2"/>
      <c r="E29" cm="1">
        <f t="array" ref="E29">IFERROR(
  $C29*1 -
  SUMPRODUCT(
    --IFERROR('STOK KULLANIM'!$D$2:$D$100002=$A29,0),
    --IFERROR('STOK KULLANIM'!$I$2:$I$100002=$D29,0),
    --( IFERROR('STOK KULLANIM'!$E$2:$E$100002=$B29,0) + IFERROR('STOK KULLANIM'!$E$2:$E$100002="",0) + ($B29="") &gt; 0 ),
    IFERROR('STOK KULLANIM'!$H$2:$H$100002,0)*1
  ),
  $C29*1
)</f>
        <v>0</v>
      </c>
    </row>
    <row r="30" spans="1:5" x14ac:dyDescent="0.3">
      <c r="A30" s="33" t="s">
        <v>159</v>
      </c>
      <c r="B30" s="2"/>
      <c r="E30" cm="1">
        <f t="array" ref="E30">IFERROR(
  $C30*1 -
  SUMPRODUCT(
    --IFERROR('STOK KULLANIM'!$D$2:$D$100002=$A30,0),
    --IFERROR('STOK KULLANIM'!$I$2:$I$100002=$D30,0),
    --( IFERROR('STOK KULLANIM'!$E$2:$E$100002=$B30,0) + IFERROR('STOK KULLANIM'!$E$2:$E$100002="",0) + ($B30="") &gt; 0 ),
    IFERROR('STOK KULLANIM'!$H$2:$H$100002,0)*1
  ),
  $C30*1
)</f>
        <v>0</v>
      </c>
    </row>
    <row r="31" spans="1:5" x14ac:dyDescent="0.3">
      <c r="A31" s="34" t="s">
        <v>159</v>
      </c>
      <c r="B31" s="2"/>
      <c r="E31" cm="1">
        <f t="array" ref="E31">IFERROR(
  $C31*1 -
  SUMPRODUCT(
    --IFERROR('STOK KULLANIM'!$D$2:$D$100002=$A31,0),
    --IFERROR('STOK KULLANIM'!$I$2:$I$100002=$D31,0),
    --( IFERROR('STOK KULLANIM'!$E$2:$E$100002=$B31,0) + IFERROR('STOK KULLANIM'!$E$2:$E$100002="",0) + ($B31="") &gt; 0 ),
    IFERROR('STOK KULLANIM'!$H$2:$H$100002,0)*1
  ),
  $C31*1
)</f>
        <v>0</v>
      </c>
    </row>
    <row r="32" spans="1:5" x14ac:dyDescent="0.3">
      <c r="A32" s="33" t="s">
        <v>159</v>
      </c>
      <c r="B32" s="2"/>
      <c r="E32" cm="1">
        <f t="array" ref="E32">IFERROR(
  $C32*1 -
  SUMPRODUCT(
    --IFERROR('STOK KULLANIM'!$D$2:$D$100002=$A32,0),
    --IFERROR('STOK KULLANIM'!$I$2:$I$100002=$D32,0),
    --( IFERROR('STOK KULLANIM'!$E$2:$E$100002=$B32,0) + IFERROR('STOK KULLANIM'!$E$2:$E$100002="",0) + ($B32="") &gt; 0 ),
    IFERROR('STOK KULLANIM'!$H$2:$H$100002,0)*1
  ),
  $C32*1
)</f>
        <v>0</v>
      </c>
    </row>
    <row r="33" spans="1:5" x14ac:dyDescent="0.3">
      <c r="A33" s="34" t="s">
        <v>160</v>
      </c>
      <c r="B33" s="2"/>
      <c r="E33" cm="1">
        <f t="array" ref="E33">IFERROR(
  $C33*1 -
  SUMPRODUCT(
    --IFERROR('STOK KULLANIM'!$D$2:$D$100002=$A33,0),
    --IFERROR('STOK KULLANIM'!$I$2:$I$100002=$D33,0),
    --( IFERROR('STOK KULLANIM'!$E$2:$E$100002=$B33,0) + IFERROR('STOK KULLANIM'!$E$2:$E$100002="",0) + ($B33="") &gt; 0 ),
    IFERROR('STOK KULLANIM'!$H$2:$H$100002,0)*1
  ),
  $C33*1
)</f>
        <v>0</v>
      </c>
    </row>
    <row r="34" spans="1:5" x14ac:dyDescent="0.3">
      <c r="A34" s="33" t="s">
        <v>161</v>
      </c>
      <c r="B34" s="2"/>
      <c r="E34" cm="1">
        <f t="array" ref="E34">IFERROR(
  $C34*1 -
  SUMPRODUCT(
    --IFERROR('STOK KULLANIM'!$D$2:$D$100002=$A34,0),
    --IFERROR('STOK KULLANIM'!$I$2:$I$100002=$D34,0),
    --( IFERROR('STOK KULLANIM'!$E$2:$E$100002=$B34,0) + IFERROR('STOK KULLANIM'!$E$2:$E$100002="",0) + ($B34="") &gt; 0 ),
    IFERROR('STOK KULLANIM'!$H$2:$H$100002,0)*1
  ),
  $C34*1
)</f>
        <v>0</v>
      </c>
    </row>
    <row r="35" spans="1:5" x14ac:dyDescent="0.3">
      <c r="A35" s="34" t="s">
        <v>162</v>
      </c>
      <c r="B35" s="2"/>
      <c r="E35" cm="1">
        <f t="array" ref="E35">IFERROR(
  $C35*1 -
  SUMPRODUCT(
    --IFERROR('STOK KULLANIM'!$D$2:$D$100002=$A35,0),
    --IFERROR('STOK KULLANIM'!$I$2:$I$100002=$D35,0),
    --( IFERROR('STOK KULLANIM'!$E$2:$E$100002=$B35,0) + IFERROR('STOK KULLANIM'!$E$2:$E$100002="",0) + ($B35="") &gt; 0 ),
    IFERROR('STOK KULLANIM'!$H$2:$H$100002,0)*1
  ),
  $C35*1
)</f>
        <v>0</v>
      </c>
    </row>
    <row r="36" spans="1:5" x14ac:dyDescent="0.3">
      <c r="A36" s="33" t="s">
        <v>162</v>
      </c>
      <c r="B36" s="2"/>
      <c r="E36" cm="1">
        <f t="array" ref="E36">IFERROR(
  $C36*1 -
  SUMPRODUCT(
    --IFERROR('STOK KULLANIM'!$D$2:$D$100002=$A36,0),
    --IFERROR('STOK KULLANIM'!$I$2:$I$100002=$D36,0),
    --( IFERROR('STOK KULLANIM'!$E$2:$E$100002=$B36,0) + IFERROR('STOK KULLANIM'!$E$2:$E$100002="",0) + ($B36="") &gt; 0 ),
    IFERROR('STOK KULLANIM'!$H$2:$H$100002,0)*1
  ),
  $C36*1
)</f>
        <v>0</v>
      </c>
    </row>
    <row r="37" spans="1:5" x14ac:dyDescent="0.3">
      <c r="A37" s="34" t="s">
        <v>163</v>
      </c>
      <c r="B37" s="2"/>
      <c r="E37" cm="1">
        <f t="array" ref="E37">IFERROR(
  $C37*1 -
  SUMPRODUCT(
    --IFERROR('STOK KULLANIM'!$D$2:$D$100002=$A37,0),
    --IFERROR('STOK KULLANIM'!$I$2:$I$100002=$D37,0),
    --( IFERROR('STOK KULLANIM'!$E$2:$E$100002=$B37,0) + IFERROR('STOK KULLANIM'!$E$2:$E$100002="",0) + ($B37="") &gt; 0 ),
    IFERROR('STOK KULLANIM'!$H$2:$H$100002,0)*1
  ),
  $C37*1
)</f>
        <v>0</v>
      </c>
    </row>
    <row r="38" spans="1:5" x14ac:dyDescent="0.3">
      <c r="A38" s="33" t="s">
        <v>164</v>
      </c>
      <c r="B38" s="2"/>
      <c r="E38" cm="1">
        <f t="array" ref="E38">IFERROR(
  $C38*1 -
  SUMPRODUCT(
    --IFERROR('STOK KULLANIM'!$D$2:$D$100002=$A38,0),
    --IFERROR('STOK KULLANIM'!$I$2:$I$100002=$D38,0),
    --( IFERROR('STOK KULLANIM'!$E$2:$E$100002=$B38,0) + IFERROR('STOK KULLANIM'!$E$2:$E$100002="",0) + ($B38="") &gt; 0 ),
    IFERROR('STOK KULLANIM'!$H$2:$H$100002,0)*1
  ),
  $C38*1
)</f>
        <v>0</v>
      </c>
    </row>
    <row r="39" spans="1:5" x14ac:dyDescent="0.3">
      <c r="A39" s="25"/>
      <c r="B39" s="2"/>
    </row>
    <row r="40" spans="1:5" x14ac:dyDescent="0.3">
      <c r="A40" s="25"/>
      <c r="B40" s="2"/>
    </row>
    <row r="41" spans="1:5" x14ac:dyDescent="0.3">
      <c r="A41" s="25"/>
      <c r="B41" s="2"/>
    </row>
    <row r="42" spans="1:5" x14ac:dyDescent="0.3">
      <c r="A42" s="25"/>
      <c r="B42" s="2"/>
    </row>
    <row r="43" spans="1:5" x14ac:dyDescent="0.3">
      <c r="A43" s="25"/>
      <c r="B43" s="2"/>
    </row>
    <row r="44" spans="1:5" x14ac:dyDescent="0.3">
      <c r="A44" s="25"/>
      <c r="B44" s="2"/>
    </row>
    <row r="45" spans="1:5" x14ac:dyDescent="0.3">
      <c r="A45" s="25"/>
      <c r="B45" s="2"/>
    </row>
    <row r="46" spans="1:5" x14ac:dyDescent="0.3">
      <c r="A46" s="25"/>
      <c r="B46" s="2"/>
    </row>
    <row r="47" spans="1:5" x14ac:dyDescent="0.3">
      <c r="A47" s="25"/>
      <c r="B47" s="2"/>
    </row>
    <row r="48" spans="1:5" x14ac:dyDescent="0.3">
      <c r="A48" s="25"/>
      <c r="B48" s="2"/>
    </row>
    <row r="49" spans="1:2" x14ac:dyDescent="0.3">
      <c r="A49" s="25"/>
      <c r="B49" s="2"/>
    </row>
    <row r="50" spans="1:2" x14ac:dyDescent="0.3">
      <c r="A50" s="25"/>
      <c r="B50" s="2"/>
    </row>
    <row r="51" spans="1:2" x14ac:dyDescent="0.3">
      <c r="A51" s="25"/>
      <c r="B51" s="2"/>
    </row>
    <row r="52" spans="1:2" x14ac:dyDescent="0.3">
      <c r="A52" s="25"/>
      <c r="B52" s="2"/>
    </row>
    <row r="53" spans="1:2" x14ac:dyDescent="0.3">
      <c r="A53" s="25"/>
      <c r="B53" s="2"/>
    </row>
    <row r="54" spans="1:2" x14ac:dyDescent="0.3">
      <c r="A54" s="25"/>
      <c r="B54" s="2"/>
    </row>
    <row r="55" spans="1:2" x14ac:dyDescent="0.3">
      <c r="A55" s="25"/>
      <c r="B55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4C77-E2D6-4ADD-88D1-D42FAD33DA43}">
  <dimension ref="A1:E55"/>
  <sheetViews>
    <sheetView workbookViewId="0">
      <selection activeCell="M8" sqref="M8"/>
    </sheetView>
  </sheetViews>
  <sheetFormatPr defaultRowHeight="14.4" x14ac:dyDescent="0.3"/>
  <cols>
    <col min="1" max="1" width="11.5546875" customWidth="1"/>
    <col min="2" max="2" width="9.109375" customWidth="1"/>
    <col min="4" max="4" width="11.21875" customWidth="1"/>
    <col min="5" max="5" width="13.5546875" customWidth="1"/>
  </cols>
  <sheetData>
    <row r="1" spans="1:5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</row>
    <row r="2" spans="1:5" x14ac:dyDescent="0.3">
      <c r="A2" s="31" t="s">
        <v>165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</row>
    <row r="3" spans="1:5" x14ac:dyDescent="0.3">
      <c r="A3" s="32" t="s">
        <v>165</v>
      </c>
      <c r="B3" s="2" t="s">
        <v>52</v>
      </c>
      <c r="C3">
        <v>47</v>
      </c>
      <c r="D3">
        <v>12000</v>
      </c>
      <c r="E3" cm="1">
        <f t="array" ref="E3">IFERROR(
  $C3*1 -
  SUMPRODUCT(
    --IFERROR('STOK KULLANIM'!$D$2:$D$100002=$A3,0),
    --IFERROR('STOK KULLANIM'!$I$2:$I$100002=$D3,0),
    --( IFERROR('STOK KULLANIM'!$E$2:$E$100002=$B3,0) + IFERROR('STOK KULLANIM'!$E$2:$E$100002="",0) + ($B3="") &gt; 0 ),
    IFERROR('STOK KULLANIM'!$H$2:$H$100002,0)*1
  ),
  $C3*1
)</f>
        <v>47</v>
      </c>
    </row>
    <row r="4" spans="1:5" x14ac:dyDescent="0.3">
      <c r="A4" s="31" t="s">
        <v>166</v>
      </c>
      <c r="B4" s="2"/>
      <c r="E4" cm="1">
        <f t="array" ref="E4">IFERROR(
  $C4*1 -
  SUMPRODUCT(
    --IFERROR('STOK KULLANIM'!$D$2:$D$100002=$A4,0),
    --IFERROR('STOK KULLANIM'!$I$2:$I$100002=$D4,0),
    --( IFERROR('STOK KULLANIM'!$E$2:$E$100002=$B4,0) + IFERROR('STOK KULLANIM'!$E$2:$E$100002="",0) + ($B4="") &gt; 0 ),
    IFERROR('STOK KULLANIM'!$H$2:$H$100002,0)*1
  ),
  $C4*1
)</f>
        <v>0</v>
      </c>
    </row>
    <row r="5" spans="1:5" x14ac:dyDescent="0.3">
      <c r="A5" s="32" t="s">
        <v>167</v>
      </c>
      <c r="B5" s="2"/>
      <c r="E5" cm="1">
        <f t="array" ref="E5">IFERROR(
  $C5*1 -
  SUMPRODUCT(
    --IFERROR('STOK KULLANIM'!$D$2:$D$100002=$A5,0),
    --IFERROR('STOK KULLANIM'!$I$2:$I$100002=$D5,0),
    --( IFERROR('STOK KULLANIM'!$E$2:$E$100002=$B5,0) + IFERROR('STOK KULLANIM'!$E$2:$E$100002="",0) + ($B5="") &gt; 0 ),
    IFERROR('STOK KULLANIM'!$H$2:$H$100002,0)*1
  ),
  $C5*1
)</f>
        <v>0</v>
      </c>
    </row>
    <row r="6" spans="1:5" x14ac:dyDescent="0.3">
      <c r="A6" s="31" t="s">
        <v>168</v>
      </c>
      <c r="B6" s="2"/>
      <c r="E6" cm="1">
        <f t="array" ref="E6">IFERROR(
  $C6*1 -
  SUMPRODUCT(
    --IFERROR('STOK KULLANIM'!$D$2:$D$100002=$A6,0),
    --IFERROR('STOK KULLANIM'!$I$2:$I$100002=$D6,0),
    --( IFERROR('STOK KULLANIM'!$E$2:$E$100002=$B6,0) + IFERROR('STOK KULLANIM'!$E$2:$E$100002="",0) + ($B6="") &gt; 0 ),
    IFERROR('STOK KULLANIM'!$H$2:$H$100002,0)*1
  ),
  $C6*1
)</f>
        <v>0</v>
      </c>
    </row>
    <row r="7" spans="1:5" x14ac:dyDescent="0.3">
      <c r="A7" s="32" t="s">
        <v>169</v>
      </c>
      <c r="B7" s="2" t="s">
        <v>52</v>
      </c>
      <c r="C7">
        <v>54</v>
      </c>
      <c r="D7">
        <v>12000</v>
      </c>
      <c r="E7" cm="1">
        <f t="array" ref="E7">IFERROR(
  $C7*1 -
  SUMPRODUCT(
    --IFERROR('STOK KULLANIM'!$D$2:$D$100002=$A7,0),
    --IFERROR('STOK KULLANIM'!$I$2:$I$100002=$D7,0),
    --( IFERROR('STOK KULLANIM'!$E$2:$E$100002=$B7,0) + IFERROR('STOK KULLANIM'!$E$2:$E$100002="",0) + ($B7="") &gt; 0 ),
    IFERROR('STOK KULLANIM'!$H$2:$H$100002,0)*1
  ),
  $C7*1
)</f>
        <v>54</v>
      </c>
    </row>
    <row r="8" spans="1:5" x14ac:dyDescent="0.3">
      <c r="A8" s="31" t="s">
        <v>170</v>
      </c>
      <c r="B8" s="2"/>
      <c r="E8" cm="1">
        <f t="array" ref="E8">IFERROR(
  $C8*1 -
  SUMPRODUCT(
    --IFERROR('STOK KULLANIM'!$D$2:$D$100002=$A8,0),
    --IFERROR('STOK KULLANIM'!$I$2:$I$100002=$D8,0),
    --( IFERROR('STOK KULLANIM'!$E$2:$E$100002=$B8,0) + IFERROR('STOK KULLANIM'!$E$2:$E$100002="",0) + ($B8="") &gt; 0 ),
    IFERROR('STOK KULLANIM'!$H$2:$H$100002,0)*1
  ),
  $C8*1
)</f>
        <v>0</v>
      </c>
    </row>
    <row r="9" spans="1:5" x14ac:dyDescent="0.3">
      <c r="A9" s="32" t="s">
        <v>170</v>
      </c>
      <c r="B9" s="2"/>
      <c r="E9" cm="1">
        <f t="array" ref="E9">IFERROR(
  $C9*1 -
  SUMPRODUCT(
    --IFERROR('STOK KULLANIM'!$D$2:$D$100002=$A9,0),
    --IFERROR('STOK KULLANIM'!$I$2:$I$100002=$D9,0),
    --( IFERROR('STOK KULLANIM'!$E$2:$E$100002=$B9,0) + IFERROR('STOK KULLANIM'!$E$2:$E$100002="",0) + ($B9="") &gt; 0 ),
    IFERROR('STOK KULLANIM'!$H$2:$H$100002,0)*1
  ),
  $C9*1
)</f>
        <v>0</v>
      </c>
    </row>
    <row r="10" spans="1:5" x14ac:dyDescent="0.3">
      <c r="A10" s="31" t="s">
        <v>171</v>
      </c>
      <c r="B10" s="2"/>
      <c r="E10" cm="1">
        <f t="array" ref="E10">IFERROR(
  $C10*1 -
  SUMPRODUCT(
    --IFERROR('STOK KULLANIM'!$D$2:$D$100002=$A10,0),
    --IFERROR('STOK KULLANIM'!$I$2:$I$100002=$D10,0),
    --( IFERROR('STOK KULLANIM'!$E$2:$E$100002=$B10,0) + IFERROR('STOK KULLANIM'!$E$2:$E$100002="",0) + ($B10="") &gt; 0 ),
    IFERROR('STOK KULLANIM'!$H$2:$H$100002,0)*1
  ),
  $C10*1
)</f>
        <v>0</v>
      </c>
    </row>
    <row r="11" spans="1:5" x14ac:dyDescent="0.3">
      <c r="A11" s="32" t="s">
        <v>171</v>
      </c>
      <c r="B11" s="2"/>
      <c r="E11" cm="1">
        <f t="array" ref="E11">IFERROR(
  $C11*1 -
  SUMPRODUCT(
    --IFERROR('STOK KULLANIM'!$D$2:$D$100002=$A11,0),
    --IFERROR('STOK KULLANIM'!$I$2:$I$100002=$D11,0),
    --( IFERROR('STOK KULLANIM'!$E$2:$E$100002=$B11,0) + IFERROR('STOK KULLANIM'!$E$2:$E$100002="",0) + ($B11="") &gt; 0 ),
    IFERROR('STOK KULLANIM'!$H$2:$H$100002,0)*1
  ),
  $C11*1
)</f>
        <v>0</v>
      </c>
    </row>
    <row r="12" spans="1:5" x14ac:dyDescent="0.3">
      <c r="A12" s="31" t="s">
        <v>171</v>
      </c>
      <c r="B12" s="2"/>
      <c r="E12" cm="1">
        <f t="array" ref="E12">IFERROR(
  $C12*1 -
  SUMPRODUCT(
    --IFERROR('STOK KULLANIM'!$D$2:$D$100002=$A12,0),
    --IFERROR('STOK KULLANIM'!$I$2:$I$100002=$D12,0),
    --( IFERROR('STOK KULLANIM'!$E$2:$E$100002=$B12,0) + IFERROR('STOK KULLANIM'!$E$2:$E$100002="",0) + ($B12="") &gt; 0 ),
    IFERROR('STOK KULLANIM'!$H$2:$H$100002,0)*1
  ),
  $C12*1
)</f>
        <v>0</v>
      </c>
    </row>
    <row r="13" spans="1:5" x14ac:dyDescent="0.3">
      <c r="A13" s="32" t="s">
        <v>171</v>
      </c>
      <c r="B13" s="2"/>
      <c r="E13" cm="1">
        <f t="array" ref="E13">IFERROR(
  $C13*1 -
  SUMPRODUCT(
    --IFERROR('STOK KULLANIM'!$D$2:$D$100002=$A13,0),
    --IFERROR('STOK KULLANIM'!$I$2:$I$100002=$D13,0),
    --( IFERROR('STOK KULLANIM'!$E$2:$E$100002=$B13,0) + IFERROR('STOK KULLANIM'!$E$2:$E$100002="",0) + ($B13="") &gt; 0 ),
    IFERROR('STOK KULLANIM'!$H$2:$H$100002,0)*1
  ),
  $C13*1
)</f>
        <v>0</v>
      </c>
    </row>
    <row r="14" spans="1:5" x14ac:dyDescent="0.3">
      <c r="A14" s="31" t="s">
        <v>172</v>
      </c>
      <c r="B14" s="2"/>
      <c r="E14" cm="1">
        <f t="array" ref="E14">IFERROR(
  $C14*1 -
  SUMPRODUCT(
    --IFERROR('STOK KULLANIM'!$D$2:$D$100002=$A14,0),
    --IFERROR('STOK KULLANIM'!$I$2:$I$100002=$D14,0),
    --( IFERROR('STOK KULLANIM'!$E$2:$E$100002=$B14,0) + IFERROR('STOK KULLANIM'!$E$2:$E$100002="",0) + ($B14="") &gt; 0 ),
    IFERROR('STOK KULLANIM'!$H$2:$H$100002,0)*1
  ),
  $C14*1
)</f>
        <v>0</v>
      </c>
    </row>
    <row r="15" spans="1:5" x14ac:dyDescent="0.3">
      <c r="A15" s="32" t="s">
        <v>172</v>
      </c>
      <c r="B15" s="2"/>
      <c r="E15" cm="1">
        <f t="array" ref="E15">IFERROR(
  $C15*1 -
  SUMPRODUCT(
    --IFERROR('STOK KULLANIM'!$D$2:$D$100002=$A15,0),
    --IFERROR('STOK KULLANIM'!$I$2:$I$100002=$D15,0),
    --( IFERROR('STOK KULLANIM'!$E$2:$E$100002=$B15,0) + IFERROR('STOK KULLANIM'!$E$2:$E$100002="",0) + ($B15="") &gt; 0 ),
    IFERROR('STOK KULLANIM'!$H$2:$H$100002,0)*1
  ),
  $C15*1
)</f>
        <v>0</v>
      </c>
    </row>
    <row r="16" spans="1:5" x14ac:dyDescent="0.3">
      <c r="A16" s="31" t="s">
        <v>173</v>
      </c>
      <c r="B16" s="2"/>
      <c r="E16" cm="1">
        <f t="array" ref="E16">IFERROR(
  $C16*1 -
  SUMPRODUCT(
    --IFERROR('STOK KULLANIM'!$D$2:$D$100002=$A16,0),
    --IFERROR('STOK KULLANIM'!$I$2:$I$100002=$D16,0),
    --( IFERROR('STOK KULLANIM'!$E$2:$E$100002=$B16,0) + IFERROR('STOK KULLANIM'!$E$2:$E$100002="",0) + ($B16="") &gt; 0 ),
    IFERROR('STOK KULLANIM'!$H$2:$H$100002,0)*1
  ),
  $C16*1
)</f>
        <v>0</v>
      </c>
    </row>
    <row r="17" spans="1:5" x14ac:dyDescent="0.3">
      <c r="A17" s="32" t="s">
        <v>174</v>
      </c>
      <c r="B17" s="2" t="s">
        <v>52</v>
      </c>
      <c r="C17">
        <v>108</v>
      </c>
      <c r="D17">
        <v>6000</v>
      </c>
      <c r="E17" cm="1">
        <f t="array" ref="E17">IFERROR(
  $C17*1 -
  SUMPRODUCT(
    --IFERROR('STOK KULLANIM'!$D$2:$D$100002=$A17,0),
    --IFERROR('STOK KULLANIM'!$I$2:$I$100002=$D17,0),
    --( IFERROR('STOK KULLANIM'!$E$2:$E$100002=$B17,0) + IFERROR('STOK KULLANIM'!$E$2:$E$100002="",0) + ($B17="") &gt; 0 ),
    IFERROR('STOK KULLANIM'!$H$2:$H$100002,0)*1
  ),
  $C17*1
)</f>
        <v>108</v>
      </c>
    </row>
    <row r="18" spans="1:5" x14ac:dyDescent="0.3">
      <c r="A18" s="31" t="s">
        <v>174</v>
      </c>
      <c r="B18" s="2"/>
      <c r="E18" cm="1">
        <f t="array" ref="E18">IFERROR(
  $C18*1 -
  SUMPRODUCT(
    --IFERROR('STOK KULLANIM'!$D$2:$D$100002=$A18,0),
    --IFERROR('STOK KULLANIM'!$I$2:$I$100002=$D18,0),
    --( IFERROR('STOK KULLANIM'!$E$2:$E$100002=$B18,0) + IFERROR('STOK KULLANIM'!$E$2:$E$100002="",0) + ($B18="") &gt; 0 ),
    IFERROR('STOK KULLANIM'!$H$2:$H$100002,0)*1
  ),
  $C18*1
)</f>
        <v>0</v>
      </c>
    </row>
    <row r="19" spans="1:5" x14ac:dyDescent="0.3">
      <c r="A19" s="32" t="s">
        <v>174</v>
      </c>
      <c r="B19" s="2"/>
      <c r="E19" cm="1">
        <f t="array" ref="E19">IFERROR(
  $C19*1 -
  SUMPRODUCT(
    --IFERROR('STOK KULLANIM'!$D$2:$D$100002=$A19,0),
    --IFERROR('STOK KULLANIM'!$I$2:$I$100002=$D19,0),
    --( IFERROR('STOK KULLANIM'!$E$2:$E$100002=$B19,0) + IFERROR('STOK KULLANIM'!$E$2:$E$100002="",0) + ($B19="") &gt; 0 ),
    IFERROR('STOK KULLANIM'!$H$2:$H$100002,0)*1
  ),
  $C19*1
)</f>
        <v>0</v>
      </c>
    </row>
    <row r="20" spans="1:5" x14ac:dyDescent="0.3">
      <c r="A20" s="31" t="s">
        <v>174</v>
      </c>
      <c r="B20" s="2"/>
      <c r="E20" cm="1">
        <f t="array" ref="E20">IFERROR(
  $C20*1 -
  SUMPRODUCT(
    --IFERROR('STOK KULLANIM'!$D$2:$D$100002=$A20,0),
    --IFERROR('STOK KULLANIM'!$I$2:$I$100002=$D20,0),
    --( IFERROR('STOK KULLANIM'!$E$2:$E$100002=$B20,0) + IFERROR('STOK KULLANIM'!$E$2:$E$100002="",0) + ($B20="") &gt; 0 ),
    IFERROR('STOK KULLANIM'!$H$2:$H$100002,0)*1
  ),
  $C20*1
)</f>
        <v>0</v>
      </c>
    </row>
    <row r="21" spans="1:5" x14ac:dyDescent="0.3">
      <c r="A21" s="32" t="s">
        <v>175</v>
      </c>
      <c r="B21" s="2"/>
      <c r="E21" cm="1">
        <f t="array" ref="E21">IFERROR(
  $C21*1 -
  SUMPRODUCT(
    --IFERROR('STOK KULLANIM'!$D$2:$D$100002=$A21,0),
    --IFERROR('STOK KULLANIM'!$I$2:$I$100002=$D21,0),
    --( IFERROR('STOK KULLANIM'!$E$2:$E$100002=$B21,0) + IFERROR('STOK KULLANIM'!$E$2:$E$100002="",0) + ($B21="") &gt; 0 ),
    IFERROR('STOK KULLANIM'!$H$2:$H$100002,0)*1
  ),
  $C21*1
)</f>
        <v>0</v>
      </c>
    </row>
    <row r="22" spans="1:5" x14ac:dyDescent="0.3">
      <c r="A22" s="31" t="s">
        <v>175</v>
      </c>
      <c r="B22" s="2"/>
      <c r="E22" cm="1">
        <f t="array" ref="E22">IFERROR(
  $C22*1 -
  SUMPRODUCT(
    --IFERROR('STOK KULLANIM'!$D$2:$D$100002=$A22,0),
    --IFERROR('STOK KULLANIM'!$I$2:$I$100002=$D22,0),
    --( IFERROR('STOK KULLANIM'!$E$2:$E$100002=$B22,0) + IFERROR('STOK KULLANIM'!$E$2:$E$100002="",0) + ($B22="") &gt; 0 ),
    IFERROR('STOK KULLANIM'!$H$2:$H$100002,0)*1
  ),
  $C22*1
)</f>
        <v>0</v>
      </c>
    </row>
    <row r="23" spans="1:5" x14ac:dyDescent="0.3">
      <c r="A23" s="32" t="s">
        <v>176</v>
      </c>
      <c r="B23" s="2"/>
      <c r="E23" cm="1">
        <f t="array" ref="E23">IFERROR(
  $C23*1 -
  SUMPRODUCT(
    --IFERROR('STOK KULLANIM'!$D$2:$D$100002=$A23,0),
    --IFERROR('STOK KULLANIM'!$I$2:$I$100002=$D23,0),
    --( IFERROR('STOK KULLANIM'!$E$2:$E$100002=$B23,0) + IFERROR('STOK KULLANIM'!$E$2:$E$100002="",0) + ($B23="") &gt; 0 ),
    IFERROR('STOK KULLANIM'!$H$2:$H$100002,0)*1
  ),
  $C23*1
)</f>
        <v>0</v>
      </c>
    </row>
    <row r="24" spans="1:5" x14ac:dyDescent="0.3">
      <c r="A24" s="31" t="s">
        <v>177</v>
      </c>
      <c r="B24" s="2"/>
      <c r="E24" cm="1">
        <f t="array" ref="E24">IFERROR(
  $C24*1 -
  SUMPRODUCT(
    --IFERROR('STOK KULLANIM'!$D$2:$D$100002=$A24,0),
    --IFERROR('STOK KULLANIM'!$I$2:$I$100002=$D24,0),
    --( IFERROR('STOK KULLANIM'!$E$2:$E$100002=$B24,0) + IFERROR('STOK KULLANIM'!$E$2:$E$100002="",0) + ($B24="") &gt; 0 ),
    IFERROR('STOK KULLANIM'!$H$2:$H$100002,0)*1
  ),
  $C24*1
)</f>
        <v>0</v>
      </c>
    </row>
    <row r="25" spans="1:5" x14ac:dyDescent="0.3">
      <c r="A25" s="32" t="s">
        <v>177</v>
      </c>
      <c r="B25" s="2"/>
      <c r="E25" cm="1">
        <f t="array" ref="E25">IFERROR(
  $C25*1 -
  SUMPRODUCT(
    --IFERROR('STOK KULLANIM'!$D$2:$D$100002=$A25,0),
    --IFERROR('STOK KULLANIM'!$I$2:$I$100002=$D25,0),
    --( IFERROR('STOK KULLANIM'!$E$2:$E$100002=$B25,0) + IFERROR('STOK KULLANIM'!$E$2:$E$100002="",0) + ($B25="") &gt; 0 ),
    IFERROR('STOK KULLANIM'!$H$2:$H$100002,0)*1
  ),
  $C25*1
)</f>
        <v>0</v>
      </c>
    </row>
    <row r="26" spans="1:5" x14ac:dyDescent="0.3">
      <c r="A26" s="31" t="s">
        <v>177</v>
      </c>
      <c r="B26" s="2"/>
      <c r="E26" cm="1">
        <f t="array" ref="E26">IFERROR(
  $C26*1 -
  SUMPRODUCT(
    --IFERROR('STOK KULLANIM'!$D$2:$D$100002=$A26,0),
    --IFERROR('STOK KULLANIM'!$I$2:$I$100002=$D26,0),
    --( IFERROR('STOK KULLANIM'!$E$2:$E$100002=$B26,0) + IFERROR('STOK KULLANIM'!$E$2:$E$100002="",0) + ($B26="") &gt; 0 ),
    IFERROR('STOK KULLANIM'!$H$2:$H$100002,0)*1
  ),
  $C26*1
)</f>
        <v>0</v>
      </c>
    </row>
    <row r="27" spans="1:5" x14ac:dyDescent="0.3">
      <c r="A27" s="32" t="s">
        <v>177</v>
      </c>
      <c r="B27" s="2"/>
      <c r="E27" cm="1">
        <f t="array" ref="E27">IFERROR(
  $C27*1 -
  SUMPRODUCT(
    --IFERROR('STOK KULLANIM'!$D$2:$D$100002=$A27,0),
    --IFERROR('STOK KULLANIM'!$I$2:$I$100002=$D27,0),
    --( IFERROR('STOK KULLANIM'!$E$2:$E$100002=$B27,0) + IFERROR('STOK KULLANIM'!$E$2:$E$100002="",0) + ($B27="") &gt; 0 ),
    IFERROR('STOK KULLANIM'!$H$2:$H$100002,0)*1
  ),
  $C27*1
)</f>
        <v>0</v>
      </c>
    </row>
    <row r="28" spans="1:5" x14ac:dyDescent="0.3">
      <c r="A28" s="25"/>
      <c r="B28" s="2"/>
    </row>
    <row r="29" spans="1:5" x14ac:dyDescent="0.3">
      <c r="A29" s="25"/>
      <c r="B29" s="2"/>
    </row>
    <row r="30" spans="1:5" x14ac:dyDescent="0.3">
      <c r="A30" s="25"/>
      <c r="B30" s="2"/>
    </row>
    <row r="31" spans="1:5" x14ac:dyDescent="0.3">
      <c r="A31" s="25"/>
      <c r="B31" s="2"/>
    </row>
    <row r="32" spans="1:5" x14ac:dyDescent="0.3">
      <c r="A32" s="25"/>
      <c r="B32" s="2"/>
    </row>
    <row r="33" spans="1:2" x14ac:dyDescent="0.3">
      <c r="A33" s="25"/>
      <c r="B33" s="2"/>
    </row>
    <row r="34" spans="1:2" x14ac:dyDescent="0.3">
      <c r="A34" s="25"/>
      <c r="B34" s="2"/>
    </row>
    <row r="35" spans="1:2" x14ac:dyDescent="0.3">
      <c r="A35" s="25"/>
      <c r="B35" s="2"/>
    </row>
    <row r="36" spans="1:2" x14ac:dyDescent="0.3">
      <c r="A36" s="25"/>
      <c r="B36" s="2"/>
    </row>
    <row r="37" spans="1:2" x14ac:dyDescent="0.3">
      <c r="A37" s="25"/>
      <c r="B37" s="2"/>
    </row>
    <row r="38" spans="1:2" x14ac:dyDescent="0.3">
      <c r="A38" s="25"/>
      <c r="B38" s="2"/>
    </row>
    <row r="39" spans="1:2" x14ac:dyDescent="0.3">
      <c r="A39" s="25"/>
      <c r="B39" s="2"/>
    </row>
    <row r="40" spans="1:2" x14ac:dyDescent="0.3">
      <c r="A40" s="25"/>
      <c r="B40" s="2"/>
    </row>
    <row r="41" spans="1:2" x14ac:dyDescent="0.3">
      <c r="A41" s="25"/>
      <c r="B41" s="2"/>
    </row>
    <row r="42" spans="1:2" x14ac:dyDescent="0.3">
      <c r="A42" s="25"/>
      <c r="B42" s="2"/>
    </row>
    <row r="43" spans="1:2" x14ac:dyDescent="0.3">
      <c r="A43" s="25"/>
      <c r="B43" s="2"/>
    </row>
    <row r="44" spans="1:2" x14ac:dyDescent="0.3">
      <c r="A44" s="25"/>
      <c r="B44" s="2"/>
    </row>
    <row r="45" spans="1:2" x14ac:dyDescent="0.3">
      <c r="A45" s="25"/>
      <c r="B45" s="2"/>
    </row>
    <row r="46" spans="1:2" x14ac:dyDescent="0.3">
      <c r="A46" s="25"/>
      <c r="B46" s="2"/>
    </row>
    <row r="47" spans="1:2" x14ac:dyDescent="0.3">
      <c r="A47" s="25"/>
      <c r="B47" s="2"/>
    </row>
    <row r="48" spans="1:2" x14ac:dyDescent="0.3">
      <c r="A48" s="25"/>
      <c r="B48" s="2"/>
    </row>
    <row r="49" spans="1:2" x14ac:dyDescent="0.3">
      <c r="A49" s="25"/>
      <c r="B49" s="2"/>
    </row>
    <row r="50" spans="1:2" x14ac:dyDescent="0.3">
      <c r="A50" s="25"/>
      <c r="B50" s="2"/>
    </row>
    <row r="51" spans="1:2" x14ac:dyDescent="0.3">
      <c r="A51" s="25"/>
      <c r="B51" s="2"/>
    </row>
    <row r="52" spans="1:2" x14ac:dyDescent="0.3">
      <c r="A52" s="25"/>
      <c r="B52" s="2"/>
    </row>
    <row r="53" spans="1:2" x14ac:dyDescent="0.3">
      <c r="A53" s="25"/>
      <c r="B53" s="2"/>
    </row>
    <row r="54" spans="1:2" x14ac:dyDescent="0.3">
      <c r="A54" s="25"/>
      <c r="B54" s="2"/>
    </row>
    <row r="55" spans="1:2" x14ac:dyDescent="0.3">
      <c r="A55" s="25"/>
      <c r="B55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DA1E-54FA-4465-B349-B5FDE438B55E}">
  <dimension ref="A1:E55"/>
  <sheetViews>
    <sheetView workbookViewId="0">
      <selection activeCell="G23" sqref="G23"/>
    </sheetView>
  </sheetViews>
  <sheetFormatPr defaultRowHeight="14.4" x14ac:dyDescent="0.3"/>
  <cols>
    <col min="1" max="1" width="11.5546875" customWidth="1"/>
    <col min="2" max="2" width="9.109375" customWidth="1"/>
    <col min="4" max="4" width="11.21875" customWidth="1"/>
    <col min="5" max="5" width="13.5546875" customWidth="1"/>
  </cols>
  <sheetData>
    <row r="1" spans="1:5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</row>
    <row r="2" spans="1:5" x14ac:dyDescent="0.3">
      <c r="A2" s="33" t="s">
        <v>178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</row>
    <row r="3" spans="1:5" x14ac:dyDescent="0.3">
      <c r="A3" s="34" t="s">
        <v>178</v>
      </c>
      <c r="B3" s="2" t="s">
        <v>52</v>
      </c>
      <c r="C3">
        <v>47</v>
      </c>
      <c r="D3">
        <v>12000</v>
      </c>
      <c r="E3" cm="1">
        <f t="array" ref="E3">IFERROR(
  $C3*1 -
  SUMPRODUCT(
    --IFERROR('STOK KULLANIM'!$D$2:$D$100002=$A3,0),
    --IFERROR('STOK KULLANIM'!$I$2:$I$100002=$D3,0),
    --( IFERROR('STOK KULLANIM'!$E$2:$E$100002=$B3,0) + IFERROR('STOK KULLANIM'!$E$2:$E$100002="",0) + ($B3="") &gt; 0 ),
    IFERROR('STOK KULLANIM'!$H$2:$H$100002,0)*1
  ),
  $C3*1
)</f>
        <v>47</v>
      </c>
    </row>
    <row r="4" spans="1:5" x14ac:dyDescent="0.3">
      <c r="A4" s="33" t="s">
        <v>179</v>
      </c>
      <c r="B4" s="2"/>
      <c r="E4" cm="1">
        <f t="array" ref="E4">IFERROR(
  $C4*1 -
  SUMPRODUCT(
    --IFERROR('STOK KULLANIM'!$D$2:$D$100002=$A4,0),
    --IFERROR('STOK KULLANIM'!$I$2:$I$100002=$D4,0),
    --( IFERROR('STOK KULLANIM'!$E$2:$E$100002=$B4,0) + IFERROR('STOK KULLANIM'!$E$2:$E$100002="",0) + ($B4="") &gt; 0 ),
    IFERROR('STOK KULLANIM'!$H$2:$H$100002,0)*1
  ),
  $C4*1
)</f>
        <v>0</v>
      </c>
    </row>
    <row r="5" spans="1:5" x14ac:dyDescent="0.3">
      <c r="A5" s="34" t="s">
        <v>180</v>
      </c>
      <c r="B5" s="2"/>
      <c r="E5" cm="1">
        <f t="array" ref="E5">IFERROR(
  $C5*1 -
  SUMPRODUCT(
    --IFERROR('STOK KULLANIM'!$D$2:$D$100002=$A5,0),
    --IFERROR('STOK KULLANIM'!$I$2:$I$100002=$D5,0),
    --( IFERROR('STOK KULLANIM'!$E$2:$E$100002=$B5,0) + IFERROR('STOK KULLANIM'!$E$2:$E$100002="",0) + ($B5="") &gt; 0 ),
    IFERROR('STOK KULLANIM'!$H$2:$H$100002,0)*1
  ),
  $C5*1
)</f>
        <v>0</v>
      </c>
    </row>
    <row r="6" spans="1:5" x14ac:dyDescent="0.3">
      <c r="A6" s="33" t="s">
        <v>181</v>
      </c>
      <c r="B6" s="2"/>
      <c r="E6" cm="1">
        <f t="array" ref="E6">IFERROR(
  $C6*1 -
  SUMPRODUCT(
    --IFERROR('STOK KULLANIM'!$D$2:$D$100002=$A6,0),
    --IFERROR('STOK KULLANIM'!$I$2:$I$100002=$D6,0),
    --( IFERROR('STOK KULLANIM'!$E$2:$E$100002=$B6,0) + IFERROR('STOK KULLANIM'!$E$2:$E$100002="",0) + ($B6="") &gt; 0 ),
    IFERROR('STOK KULLANIM'!$H$2:$H$100002,0)*1
  ),
  $C6*1
)</f>
        <v>0</v>
      </c>
    </row>
    <row r="7" spans="1:5" x14ac:dyDescent="0.3">
      <c r="A7" s="34" t="s">
        <v>180</v>
      </c>
      <c r="B7" s="2"/>
      <c r="E7" cm="1">
        <f t="array" ref="E7">IFERROR(
  $C7*1 -
  SUMPRODUCT(
    --IFERROR('STOK KULLANIM'!$D$2:$D$100002=$A7,0),
    --IFERROR('STOK KULLANIM'!$I$2:$I$100002=$D7,0),
    --( IFERROR('STOK KULLANIM'!$E$2:$E$100002=$B7,0) + IFERROR('STOK KULLANIM'!$E$2:$E$100002="",0) + ($B7="") &gt; 0 ),
    IFERROR('STOK KULLANIM'!$H$2:$H$100002,0)*1
  ),
  $C7*1
)</f>
        <v>0</v>
      </c>
    </row>
    <row r="8" spans="1:5" x14ac:dyDescent="0.3">
      <c r="A8" s="33" t="s">
        <v>182</v>
      </c>
      <c r="B8" s="2"/>
      <c r="E8" cm="1">
        <f t="array" ref="E8">IFERROR(
  $C8*1 -
  SUMPRODUCT(
    --IFERROR('STOK KULLANIM'!$D$2:$D$100002=$A8,0),
    --IFERROR('STOK KULLANIM'!$I$2:$I$100002=$D8,0),
    --( IFERROR('STOK KULLANIM'!$E$2:$E$100002=$B8,0) + IFERROR('STOK KULLANIM'!$E$2:$E$100002="",0) + ($B8="") &gt; 0 ),
    IFERROR('STOK KULLANIM'!$H$2:$H$100002,0)*1
  ),
  $C8*1
)</f>
        <v>0</v>
      </c>
    </row>
    <row r="9" spans="1:5" x14ac:dyDescent="0.3">
      <c r="A9" s="34" t="s">
        <v>183</v>
      </c>
      <c r="B9" s="2"/>
      <c r="E9" cm="1">
        <f t="array" ref="E9">IFERROR(
  $C9*1 -
  SUMPRODUCT(
    --IFERROR('STOK KULLANIM'!$D$2:$D$100002=$A9,0),
    --IFERROR('STOK KULLANIM'!$I$2:$I$100002=$D9,0),
    --( IFERROR('STOK KULLANIM'!$E$2:$E$100002=$B9,0) + IFERROR('STOK KULLANIM'!$E$2:$E$100002="",0) + ($B9="") &gt; 0 ),
    IFERROR('STOK KULLANIM'!$H$2:$H$100002,0)*1
  ),
  $C9*1
)</f>
        <v>0</v>
      </c>
    </row>
    <row r="10" spans="1:5" x14ac:dyDescent="0.3">
      <c r="A10" s="33" t="s">
        <v>178</v>
      </c>
      <c r="B10" s="2"/>
      <c r="E10" cm="1">
        <f t="array" ref="E10">IFERROR(
  $C10*1 -
  SUMPRODUCT(
    --IFERROR('STOK KULLANIM'!$D$2:$D$100002=$A10,0),
    --IFERROR('STOK KULLANIM'!$I$2:$I$100002=$D10,0),
    --( IFERROR('STOK KULLANIM'!$E$2:$E$100002=$B10,0) + IFERROR('STOK KULLANIM'!$E$2:$E$100002="",0) + ($B10="") &gt; 0 ),
    IFERROR('STOK KULLANIM'!$H$2:$H$100002,0)*1
  ),
  $C10*1
)</f>
        <v>0</v>
      </c>
    </row>
    <row r="11" spans="1:5" x14ac:dyDescent="0.3">
      <c r="A11" s="34" t="s">
        <v>184</v>
      </c>
      <c r="B11" s="2"/>
      <c r="E11" cm="1">
        <f t="array" ref="E11">IFERROR(
  $C11*1 -
  SUMPRODUCT(
    --IFERROR('STOK KULLANIM'!$D$2:$D$100002=$A11,0),
    --IFERROR('STOK KULLANIM'!$I$2:$I$100002=$D11,0),
    --( IFERROR('STOK KULLANIM'!$E$2:$E$100002=$B11,0) + IFERROR('STOK KULLANIM'!$E$2:$E$100002="",0) + ($B11="") &gt; 0 ),
    IFERROR('STOK KULLANIM'!$H$2:$H$100002,0)*1
  ),
  $C11*1
)</f>
        <v>0</v>
      </c>
    </row>
    <row r="12" spans="1:5" x14ac:dyDescent="0.3">
      <c r="A12" s="33" t="s">
        <v>178</v>
      </c>
      <c r="B12" s="2"/>
      <c r="E12" cm="1">
        <f t="array" ref="E12">IFERROR(
  $C12*1 -
  SUMPRODUCT(
    --IFERROR('STOK KULLANIM'!$D$2:$D$100002=$A12,0),
    --IFERROR('STOK KULLANIM'!$I$2:$I$100002=$D12,0),
    --( IFERROR('STOK KULLANIM'!$E$2:$E$100002=$B12,0) + IFERROR('STOK KULLANIM'!$E$2:$E$100002="",0) + ($B12="") &gt; 0 ),
    IFERROR('STOK KULLANIM'!$H$2:$H$100002,0)*1
  ),
  $C12*1
)</f>
        <v>0</v>
      </c>
    </row>
    <row r="13" spans="1:5" x14ac:dyDescent="0.3">
      <c r="A13" s="34" t="s">
        <v>185</v>
      </c>
      <c r="B13" s="2"/>
      <c r="E13" cm="1">
        <f t="array" ref="E13">IFERROR(
  $C13*1 -
  SUMPRODUCT(
    --IFERROR('STOK KULLANIM'!$D$2:$D$100002=$A13,0),
    --IFERROR('STOK KULLANIM'!$I$2:$I$100002=$D13,0),
    --( IFERROR('STOK KULLANIM'!$E$2:$E$100002=$B13,0) + IFERROR('STOK KULLANIM'!$E$2:$E$100002="",0) + ($B13="") &gt; 0 ),
    IFERROR('STOK KULLANIM'!$H$2:$H$100002,0)*1
  ),
  $C13*1
)</f>
        <v>0</v>
      </c>
    </row>
    <row r="14" spans="1:5" x14ac:dyDescent="0.3">
      <c r="A14" s="33" t="s">
        <v>186</v>
      </c>
      <c r="B14" s="2"/>
      <c r="E14" cm="1">
        <f t="array" ref="E14">IFERROR(
  $C14*1 -
  SUMPRODUCT(
    --IFERROR('STOK KULLANIM'!$D$2:$D$100002=$A14,0),
    --IFERROR('STOK KULLANIM'!$I$2:$I$100002=$D14,0),
    --( IFERROR('STOK KULLANIM'!$E$2:$E$100002=$B14,0) + IFERROR('STOK KULLANIM'!$E$2:$E$100002="",0) + ($B14="") &gt; 0 ),
    IFERROR('STOK KULLANIM'!$H$2:$H$100002,0)*1
  ),
  $C14*1
)</f>
        <v>0</v>
      </c>
    </row>
    <row r="15" spans="1:5" x14ac:dyDescent="0.3">
      <c r="A15" s="34" t="s">
        <v>187</v>
      </c>
      <c r="B15" s="2"/>
      <c r="E15" cm="1">
        <f t="array" ref="E15">IFERROR(
  $C15*1 -
  SUMPRODUCT(
    --IFERROR('STOK KULLANIM'!$D$2:$D$100002=$A15,0),
    --IFERROR('STOK KULLANIM'!$I$2:$I$100002=$D15,0),
    --( IFERROR('STOK KULLANIM'!$E$2:$E$100002=$B15,0) + IFERROR('STOK KULLANIM'!$E$2:$E$100002="",0) + ($B15="") &gt; 0 ),
    IFERROR('STOK KULLANIM'!$H$2:$H$100002,0)*1
  ),
  $C15*1
)</f>
        <v>0</v>
      </c>
    </row>
    <row r="16" spans="1:5" x14ac:dyDescent="0.3">
      <c r="A16" s="33" t="s">
        <v>188</v>
      </c>
      <c r="B16" s="2"/>
      <c r="E16" cm="1">
        <f t="array" ref="E16">IFERROR(
  $C16*1 -
  SUMPRODUCT(
    --IFERROR('STOK KULLANIM'!$D$2:$D$100002=$A16,0),
    --IFERROR('STOK KULLANIM'!$I$2:$I$100002=$D16,0),
    --( IFERROR('STOK KULLANIM'!$E$2:$E$100002=$B16,0) + IFERROR('STOK KULLANIM'!$E$2:$E$100002="",0) + ($B16="") &gt; 0 ),
    IFERROR('STOK KULLANIM'!$H$2:$H$100002,0)*1
  ),
  $C16*1
)</f>
        <v>0</v>
      </c>
    </row>
    <row r="17" spans="1:5" x14ac:dyDescent="0.3">
      <c r="A17" s="34" t="s">
        <v>189</v>
      </c>
      <c r="B17" s="2" t="s">
        <v>52</v>
      </c>
      <c r="C17">
        <v>108</v>
      </c>
      <c r="D17">
        <v>6000</v>
      </c>
      <c r="E17" cm="1">
        <f t="array" ref="E17">IFERROR(
  $C17*1 -
  SUMPRODUCT(
    --IFERROR('STOK KULLANIM'!$D$2:$D$100002=$A17,0),
    --IFERROR('STOK KULLANIM'!$I$2:$I$100002=$D17,0),
    --( IFERROR('STOK KULLANIM'!$E$2:$E$100002=$B17,0) + IFERROR('STOK KULLANIM'!$E$2:$E$100002="",0) + ($B17="") &gt; 0 ),
    IFERROR('STOK KULLANIM'!$H$2:$H$100002,0)*1
  ),
  $C17*1
)</f>
        <v>108</v>
      </c>
    </row>
    <row r="18" spans="1:5" x14ac:dyDescent="0.3">
      <c r="A18" s="33" t="s">
        <v>190</v>
      </c>
      <c r="B18" s="2"/>
      <c r="E18" cm="1">
        <f t="array" ref="E18">IFERROR(
  $C18*1 -
  SUMPRODUCT(
    --IFERROR('STOK KULLANIM'!$D$2:$D$100002=$A18,0),
    --IFERROR('STOK KULLANIM'!$I$2:$I$100002=$D18,0),
    --( IFERROR('STOK KULLANIM'!$E$2:$E$100002=$B18,0) + IFERROR('STOK KULLANIM'!$E$2:$E$100002="",0) + ($B18="") &gt; 0 ),
    IFERROR('STOK KULLANIM'!$H$2:$H$100002,0)*1
  ),
  $C18*1
)</f>
        <v>0</v>
      </c>
    </row>
    <row r="19" spans="1:5" x14ac:dyDescent="0.3">
      <c r="A19" s="34" t="s">
        <v>191</v>
      </c>
      <c r="B19" s="2"/>
      <c r="E19" cm="1">
        <f t="array" ref="E19">IFERROR(
  $C19*1 -
  SUMPRODUCT(
    --IFERROR('STOK KULLANIM'!$D$2:$D$100002=$A19,0),
    --IFERROR('STOK KULLANIM'!$I$2:$I$100002=$D19,0),
    --( IFERROR('STOK KULLANIM'!$E$2:$E$100002=$B19,0) + IFERROR('STOK KULLANIM'!$E$2:$E$100002="",0) + ($B19="") &gt; 0 ),
    IFERROR('STOK KULLANIM'!$H$2:$H$100002,0)*1
  ),
  $C19*1
)</f>
        <v>0</v>
      </c>
    </row>
    <row r="20" spans="1:5" x14ac:dyDescent="0.3">
      <c r="A20" s="25"/>
      <c r="B20" s="2"/>
    </row>
    <row r="21" spans="1:5" x14ac:dyDescent="0.3">
      <c r="A21" s="25"/>
      <c r="B21" s="2"/>
    </row>
    <row r="22" spans="1:5" x14ac:dyDescent="0.3">
      <c r="A22" s="25"/>
      <c r="B22" s="2"/>
    </row>
    <row r="23" spans="1:5" x14ac:dyDescent="0.3">
      <c r="A23" s="25"/>
      <c r="B23" s="2"/>
    </row>
    <row r="24" spans="1:5" x14ac:dyDescent="0.3">
      <c r="A24" s="25"/>
      <c r="B24" s="2"/>
    </row>
    <row r="25" spans="1:5" x14ac:dyDescent="0.3">
      <c r="A25" s="25"/>
      <c r="B25" s="2"/>
    </row>
    <row r="26" spans="1:5" x14ac:dyDescent="0.3">
      <c r="A26" s="25"/>
      <c r="B26" s="2"/>
    </row>
    <row r="27" spans="1:5" x14ac:dyDescent="0.3">
      <c r="A27" s="25"/>
      <c r="B27" s="2"/>
    </row>
    <row r="28" spans="1:5" x14ac:dyDescent="0.3">
      <c r="A28" s="25"/>
      <c r="B28" s="2"/>
    </row>
    <row r="29" spans="1:5" x14ac:dyDescent="0.3">
      <c r="A29" s="25"/>
      <c r="B29" s="2"/>
    </row>
    <row r="30" spans="1:5" x14ac:dyDescent="0.3">
      <c r="A30" s="25"/>
      <c r="B30" s="2"/>
    </row>
    <row r="31" spans="1:5" x14ac:dyDescent="0.3">
      <c r="A31" s="25"/>
      <c r="B31" s="2"/>
    </row>
    <row r="32" spans="1:5" x14ac:dyDescent="0.3">
      <c r="A32" s="25"/>
      <c r="B32" s="2"/>
    </row>
    <row r="33" spans="1:2" x14ac:dyDescent="0.3">
      <c r="A33" s="25"/>
      <c r="B33" s="2"/>
    </row>
    <row r="34" spans="1:2" x14ac:dyDescent="0.3">
      <c r="A34" s="25"/>
      <c r="B34" s="2"/>
    </row>
    <row r="35" spans="1:2" x14ac:dyDescent="0.3">
      <c r="A35" s="25"/>
      <c r="B35" s="2"/>
    </row>
    <row r="36" spans="1:2" x14ac:dyDescent="0.3">
      <c r="A36" s="25"/>
      <c r="B36" s="2"/>
    </row>
    <row r="37" spans="1:2" x14ac:dyDescent="0.3">
      <c r="A37" s="25"/>
      <c r="B37" s="2"/>
    </row>
    <row r="38" spans="1:2" x14ac:dyDescent="0.3">
      <c r="A38" s="25"/>
      <c r="B38" s="2"/>
    </row>
    <row r="39" spans="1:2" x14ac:dyDescent="0.3">
      <c r="A39" s="25"/>
      <c r="B39" s="2"/>
    </row>
    <row r="40" spans="1:2" x14ac:dyDescent="0.3">
      <c r="A40" s="25"/>
      <c r="B40" s="2"/>
    </row>
    <row r="41" spans="1:2" x14ac:dyDescent="0.3">
      <c r="A41" s="25"/>
      <c r="B41" s="2"/>
    </row>
    <row r="42" spans="1:2" x14ac:dyDescent="0.3">
      <c r="A42" s="25"/>
      <c r="B42" s="2"/>
    </row>
    <row r="43" spans="1:2" x14ac:dyDescent="0.3">
      <c r="A43" s="25"/>
      <c r="B43" s="2"/>
    </row>
    <row r="44" spans="1:2" x14ac:dyDescent="0.3">
      <c r="A44" s="25"/>
      <c r="B44" s="2"/>
    </row>
    <row r="45" spans="1:2" x14ac:dyDescent="0.3">
      <c r="A45" s="25"/>
      <c r="B45" s="2"/>
    </row>
    <row r="46" spans="1:2" x14ac:dyDescent="0.3">
      <c r="A46" s="25"/>
      <c r="B46" s="2"/>
    </row>
    <row r="47" spans="1:2" x14ac:dyDescent="0.3">
      <c r="A47" s="25"/>
      <c r="B47" s="2"/>
    </row>
    <row r="48" spans="1:2" x14ac:dyDescent="0.3">
      <c r="A48" s="25"/>
      <c r="B48" s="2"/>
    </row>
    <row r="49" spans="1:2" x14ac:dyDescent="0.3">
      <c r="A49" s="25"/>
      <c r="B49" s="2"/>
    </row>
    <row r="50" spans="1:2" x14ac:dyDescent="0.3">
      <c r="A50" s="25"/>
      <c r="B50" s="2"/>
    </row>
    <row r="51" spans="1:2" x14ac:dyDescent="0.3">
      <c r="A51" s="25"/>
      <c r="B51" s="2"/>
    </row>
    <row r="52" spans="1:2" x14ac:dyDescent="0.3">
      <c r="A52" s="25"/>
      <c r="B52" s="2"/>
    </row>
    <row r="53" spans="1:2" x14ac:dyDescent="0.3">
      <c r="A53" s="25"/>
      <c r="B53" s="2"/>
    </row>
    <row r="54" spans="1:2" x14ac:dyDescent="0.3">
      <c r="A54" s="25"/>
      <c r="B54" s="2"/>
    </row>
    <row r="55" spans="1:2" x14ac:dyDescent="0.3">
      <c r="A55" s="25"/>
      <c r="B55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A103-4373-4AE8-9CA6-2D3A9C6E2C04}">
  <dimension ref="A1:E55"/>
  <sheetViews>
    <sheetView workbookViewId="0">
      <selection activeCell="H17" sqref="H17"/>
    </sheetView>
  </sheetViews>
  <sheetFormatPr defaultRowHeight="14.4" x14ac:dyDescent="0.3"/>
  <cols>
    <col min="1" max="1" width="11.5546875" customWidth="1"/>
    <col min="2" max="2" width="9.109375" customWidth="1"/>
    <col min="4" max="4" width="11.21875" customWidth="1"/>
    <col min="5" max="5" width="13.5546875" customWidth="1"/>
  </cols>
  <sheetData>
    <row r="1" spans="1:5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</row>
    <row r="2" spans="1:5" x14ac:dyDescent="0.3">
      <c r="A2" s="35" t="s">
        <v>192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</row>
    <row r="3" spans="1:5" x14ac:dyDescent="0.3">
      <c r="A3" s="36" t="s">
        <v>193</v>
      </c>
      <c r="B3" s="2" t="s">
        <v>52</v>
      </c>
      <c r="C3">
        <v>47</v>
      </c>
      <c r="D3">
        <v>12000</v>
      </c>
      <c r="E3" cm="1">
        <f t="array" ref="E3">IFERROR(
  $C3*1 -
  SUMPRODUCT(
    --IFERROR('STOK KULLANIM'!$D$2:$D$100002=$A3,0),
    --IFERROR('STOK KULLANIM'!$I$2:$I$100002=$D3,0),
    --( IFERROR('STOK KULLANIM'!$E$2:$E$100002=$B3,0) + IFERROR('STOK KULLANIM'!$E$2:$E$100002="",0) + ($B3="") &gt; 0 ),
    IFERROR('STOK KULLANIM'!$H$2:$H$100002,0)*1
  ),
  $C3*1
)</f>
        <v>47</v>
      </c>
    </row>
    <row r="4" spans="1:5" x14ac:dyDescent="0.3">
      <c r="A4" s="35" t="s">
        <v>194</v>
      </c>
      <c r="B4" s="2"/>
      <c r="E4" cm="1">
        <f t="array" ref="E4">IFERROR(
  $C4*1 -
  SUMPRODUCT(
    --IFERROR('STOK KULLANIM'!$D$2:$D$100002=$A4,0),
    --IFERROR('STOK KULLANIM'!$I$2:$I$100002=$D4,0),
    --( IFERROR('STOK KULLANIM'!$E$2:$E$100002=$B4,0) + IFERROR('STOK KULLANIM'!$E$2:$E$100002="",0) + ($B4="") &gt; 0 ),
    IFERROR('STOK KULLANIM'!$H$2:$H$100002,0)*1
  ),
  $C4*1
)</f>
        <v>0</v>
      </c>
    </row>
    <row r="5" spans="1:5" x14ac:dyDescent="0.3">
      <c r="A5" s="36" t="s">
        <v>195</v>
      </c>
      <c r="B5" s="2"/>
      <c r="E5" cm="1">
        <f t="array" ref="E5">IFERROR(
  $C5*1 -
  SUMPRODUCT(
    --IFERROR('STOK KULLANIM'!$D$2:$D$100002=$A5,0),
    --IFERROR('STOK KULLANIM'!$I$2:$I$100002=$D5,0),
    --( IFERROR('STOK KULLANIM'!$E$2:$E$100002=$B5,0) + IFERROR('STOK KULLANIM'!$E$2:$E$100002="",0) + ($B5="") &gt; 0 ),
    IFERROR('STOK KULLANIM'!$H$2:$H$100002,0)*1
  ),
  $C5*1
)</f>
        <v>0</v>
      </c>
    </row>
    <row r="6" spans="1:5" x14ac:dyDescent="0.3">
      <c r="A6" s="25"/>
      <c r="B6" s="2"/>
    </row>
    <row r="7" spans="1:5" x14ac:dyDescent="0.3">
      <c r="A7" s="25"/>
      <c r="B7" s="2"/>
    </row>
    <row r="8" spans="1:5" x14ac:dyDescent="0.3">
      <c r="A8" s="25"/>
      <c r="B8" s="2"/>
    </row>
    <row r="9" spans="1:5" x14ac:dyDescent="0.3">
      <c r="A9" s="25"/>
      <c r="B9" s="2"/>
    </row>
    <row r="10" spans="1:5" x14ac:dyDescent="0.3">
      <c r="A10" s="25"/>
      <c r="B10" s="2"/>
    </row>
    <row r="11" spans="1:5" x14ac:dyDescent="0.3">
      <c r="A11" s="25"/>
      <c r="B11" s="2"/>
    </row>
    <row r="12" spans="1:5" x14ac:dyDescent="0.3">
      <c r="A12" s="25"/>
      <c r="B12" s="2"/>
    </row>
    <row r="13" spans="1:5" x14ac:dyDescent="0.3">
      <c r="A13" s="25"/>
      <c r="B13" s="2"/>
    </row>
    <row r="14" spans="1:5" x14ac:dyDescent="0.3">
      <c r="A14" s="25"/>
      <c r="B14" s="2"/>
    </row>
    <row r="15" spans="1:5" x14ac:dyDescent="0.3">
      <c r="A15" s="25"/>
      <c r="B15" s="2"/>
    </row>
    <row r="16" spans="1:5" x14ac:dyDescent="0.3">
      <c r="A16" s="25"/>
      <c r="B16" s="2"/>
    </row>
    <row r="17" spans="1:2" x14ac:dyDescent="0.3">
      <c r="A17" s="25"/>
      <c r="B17" s="2"/>
    </row>
    <row r="18" spans="1:2" x14ac:dyDescent="0.3">
      <c r="A18" s="25"/>
      <c r="B18" s="2"/>
    </row>
    <row r="19" spans="1:2" x14ac:dyDescent="0.3">
      <c r="A19" s="25"/>
      <c r="B19" s="2"/>
    </row>
    <row r="20" spans="1:2" x14ac:dyDescent="0.3">
      <c r="A20" s="25"/>
      <c r="B20" s="2"/>
    </row>
    <row r="21" spans="1:2" x14ac:dyDescent="0.3">
      <c r="A21" s="25"/>
      <c r="B21" s="2"/>
    </row>
    <row r="22" spans="1:2" x14ac:dyDescent="0.3">
      <c r="A22" s="25"/>
      <c r="B22" s="2"/>
    </row>
    <row r="23" spans="1:2" x14ac:dyDescent="0.3">
      <c r="A23" s="25"/>
      <c r="B23" s="2"/>
    </row>
    <row r="24" spans="1:2" x14ac:dyDescent="0.3">
      <c r="A24" s="25"/>
      <c r="B24" s="2"/>
    </row>
    <row r="25" spans="1:2" x14ac:dyDescent="0.3">
      <c r="A25" s="25"/>
      <c r="B25" s="2"/>
    </row>
    <row r="26" spans="1:2" x14ac:dyDescent="0.3">
      <c r="A26" s="25"/>
      <c r="B26" s="2"/>
    </row>
    <row r="27" spans="1:2" x14ac:dyDescent="0.3">
      <c r="A27" s="25"/>
      <c r="B27" s="2"/>
    </row>
    <row r="28" spans="1:2" x14ac:dyDescent="0.3">
      <c r="A28" s="25"/>
      <c r="B28" s="2"/>
    </row>
    <row r="29" spans="1:2" x14ac:dyDescent="0.3">
      <c r="A29" s="25"/>
      <c r="B29" s="2"/>
    </row>
    <row r="30" spans="1:2" x14ac:dyDescent="0.3">
      <c r="A30" s="25"/>
      <c r="B30" s="2"/>
    </row>
    <row r="31" spans="1:2" x14ac:dyDescent="0.3">
      <c r="A31" s="25"/>
      <c r="B31" s="2"/>
    </row>
    <row r="32" spans="1:2" x14ac:dyDescent="0.3">
      <c r="A32" s="25"/>
      <c r="B32" s="2"/>
    </row>
    <row r="33" spans="1:2" x14ac:dyDescent="0.3">
      <c r="A33" s="25"/>
      <c r="B33" s="2"/>
    </row>
    <row r="34" spans="1:2" x14ac:dyDescent="0.3">
      <c r="A34" s="25"/>
      <c r="B34" s="2"/>
    </row>
    <row r="35" spans="1:2" x14ac:dyDescent="0.3">
      <c r="A35" s="25"/>
      <c r="B35" s="2"/>
    </row>
    <row r="36" spans="1:2" x14ac:dyDescent="0.3">
      <c r="A36" s="25"/>
      <c r="B36" s="2"/>
    </row>
    <row r="37" spans="1:2" x14ac:dyDescent="0.3">
      <c r="A37" s="25"/>
      <c r="B37" s="2"/>
    </row>
    <row r="38" spans="1:2" x14ac:dyDescent="0.3">
      <c r="A38" s="25"/>
      <c r="B38" s="2"/>
    </row>
    <row r="39" spans="1:2" x14ac:dyDescent="0.3">
      <c r="A39" s="25"/>
      <c r="B39" s="2"/>
    </row>
    <row r="40" spans="1:2" x14ac:dyDescent="0.3">
      <c r="A40" s="25"/>
      <c r="B40" s="2"/>
    </row>
    <row r="41" spans="1:2" x14ac:dyDescent="0.3">
      <c r="A41" s="25"/>
      <c r="B41" s="2"/>
    </row>
    <row r="42" spans="1:2" x14ac:dyDescent="0.3">
      <c r="A42" s="25"/>
      <c r="B42" s="2"/>
    </row>
    <row r="43" spans="1:2" x14ac:dyDescent="0.3">
      <c r="A43" s="25"/>
      <c r="B43" s="2"/>
    </row>
    <row r="44" spans="1:2" x14ac:dyDescent="0.3">
      <c r="A44" s="25"/>
      <c r="B44" s="2"/>
    </row>
    <row r="45" spans="1:2" x14ac:dyDescent="0.3">
      <c r="A45" s="25"/>
      <c r="B45" s="2"/>
    </row>
    <row r="46" spans="1:2" x14ac:dyDescent="0.3">
      <c r="A46" s="25"/>
      <c r="B46" s="2"/>
    </row>
    <row r="47" spans="1:2" x14ac:dyDescent="0.3">
      <c r="A47" s="25"/>
      <c r="B47" s="2"/>
    </row>
    <row r="48" spans="1:2" x14ac:dyDescent="0.3">
      <c r="A48" s="25"/>
      <c r="B48" s="2"/>
    </row>
    <row r="49" spans="1:2" x14ac:dyDescent="0.3">
      <c r="A49" s="25"/>
      <c r="B49" s="2"/>
    </row>
    <row r="50" spans="1:2" x14ac:dyDescent="0.3">
      <c r="A50" s="25"/>
      <c r="B50" s="2"/>
    </row>
    <row r="51" spans="1:2" x14ac:dyDescent="0.3">
      <c r="A51" s="25"/>
      <c r="B51" s="2"/>
    </row>
    <row r="52" spans="1:2" x14ac:dyDescent="0.3">
      <c r="A52" s="25"/>
      <c r="B52" s="2"/>
    </row>
    <row r="53" spans="1:2" x14ac:dyDescent="0.3">
      <c r="A53" s="25"/>
      <c r="B53" s="2"/>
    </row>
    <row r="54" spans="1:2" x14ac:dyDescent="0.3">
      <c r="A54" s="25"/>
      <c r="B54" s="2"/>
    </row>
    <row r="55" spans="1:2" x14ac:dyDescent="0.3">
      <c r="A55" s="25"/>
      <c r="B55" s="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C290-BBDD-4A01-913F-B6077FBE7D83}">
  <dimension ref="A1:E55"/>
  <sheetViews>
    <sheetView workbookViewId="0">
      <selection activeCell="H16" sqref="H16"/>
    </sheetView>
  </sheetViews>
  <sheetFormatPr defaultRowHeight="14.4" x14ac:dyDescent="0.3"/>
  <cols>
    <col min="1" max="1" width="11.5546875" customWidth="1"/>
    <col min="2" max="2" width="9.109375" customWidth="1"/>
    <col min="4" max="4" width="11.21875" customWidth="1"/>
    <col min="5" max="5" width="13.5546875" customWidth="1"/>
  </cols>
  <sheetData>
    <row r="1" spans="1:5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</row>
    <row r="2" spans="1:5" x14ac:dyDescent="0.3">
      <c r="A2" s="31" t="s">
        <v>196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</row>
    <row r="3" spans="1:5" x14ac:dyDescent="0.3">
      <c r="A3" s="32" t="s">
        <v>197</v>
      </c>
      <c r="B3" s="2" t="s">
        <v>52</v>
      </c>
      <c r="C3">
        <v>47</v>
      </c>
      <c r="D3">
        <v>12000</v>
      </c>
      <c r="E3" cm="1">
        <f t="array" ref="E3">IFERROR(
  $C3*1 -
  SUMPRODUCT(
    --IFERROR('STOK KULLANIM'!$D$2:$D$100002=$A3,0),
    --IFERROR('STOK KULLANIM'!$I$2:$I$100002=$D3,0),
    --( IFERROR('STOK KULLANIM'!$E$2:$E$100002=$B3,0) + IFERROR('STOK KULLANIM'!$E$2:$E$100002="",0) + ($B3="") &gt; 0 ),
    IFERROR('STOK KULLANIM'!$H$2:$H$100002,0)*1
  ),
  $C3*1
)</f>
        <v>47</v>
      </c>
    </row>
    <row r="4" spans="1:5" x14ac:dyDescent="0.3">
      <c r="A4" s="31" t="s">
        <v>198</v>
      </c>
      <c r="B4" s="2"/>
      <c r="E4" cm="1">
        <f t="array" ref="E4">IFERROR(
  $C4*1 -
  SUMPRODUCT(
    --IFERROR('STOK KULLANIM'!$D$2:$D$100002=$A4,0),
    --IFERROR('STOK KULLANIM'!$I$2:$I$100002=$D4,0),
    --( IFERROR('STOK KULLANIM'!$E$2:$E$100002=$B4,0) + IFERROR('STOK KULLANIM'!$E$2:$E$100002="",0) + ($B4="") &gt; 0 ),
    IFERROR('STOK KULLANIM'!$H$2:$H$100002,0)*1
  ),
  $C4*1
)</f>
        <v>0</v>
      </c>
    </row>
    <row r="5" spans="1:5" x14ac:dyDescent="0.3">
      <c r="A5" s="32" t="s">
        <v>199</v>
      </c>
      <c r="B5" s="2"/>
      <c r="E5" cm="1">
        <f t="array" ref="E5">IFERROR(
  $C5*1 -
  SUMPRODUCT(
    --IFERROR('STOK KULLANIM'!$D$2:$D$100002=$A5,0),
    --IFERROR('STOK KULLANIM'!$I$2:$I$100002=$D5,0),
    --( IFERROR('STOK KULLANIM'!$E$2:$E$100002=$B5,0) + IFERROR('STOK KULLANIM'!$E$2:$E$100002="",0) + ($B5="") &gt; 0 ),
    IFERROR('STOK KULLANIM'!$H$2:$H$100002,0)*1
  ),
  $C5*1
)</f>
        <v>0</v>
      </c>
    </row>
    <row r="6" spans="1:5" x14ac:dyDescent="0.3">
      <c r="A6" s="31" t="s">
        <v>200</v>
      </c>
      <c r="B6" s="2"/>
      <c r="E6" cm="1">
        <f t="array" ref="E6">IFERROR(
  $C6*1 -
  SUMPRODUCT(
    --IFERROR('STOK KULLANIM'!$D$2:$D$100002=$A6,0),
    --IFERROR('STOK KULLANIM'!$I$2:$I$100002=$D6,0),
    --( IFERROR('STOK KULLANIM'!$E$2:$E$100002=$B6,0) + IFERROR('STOK KULLANIM'!$E$2:$E$100002="",0) + ($B6="") &gt; 0 ),
    IFERROR('STOK KULLANIM'!$H$2:$H$100002,0)*1
  ),
  $C6*1
)</f>
        <v>0</v>
      </c>
    </row>
    <row r="7" spans="1:5" x14ac:dyDescent="0.3">
      <c r="A7" s="32" t="s">
        <v>201</v>
      </c>
      <c r="B7" s="2"/>
      <c r="E7" cm="1">
        <f t="array" ref="E7">IFERROR(
  $C7*1 -
  SUMPRODUCT(
    --IFERROR('STOK KULLANIM'!$D$2:$D$100002=$A7,0),
    --IFERROR('STOK KULLANIM'!$I$2:$I$100002=$D7,0),
    --( IFERROR('STOK KULLANIM'!$E$2:$E$100002=$B7,0) + IFERROR('STOK KULLANIM'!$E$2:$E$100002="",0) + ($B7="") &gt; 0 ),
    IFERROR('STOK KULLANIM'!$H$2:$H$100002,0)*1
  ),
  $C7*1
)</f>
        <v>0</v>
      </c>
    </row>
    <row r="8" spans="1:5" x14ac:dyDescent="0.3">
      <c r="A8" s="31" t="s">
        <v>118</v>
      </c>
      <c r="B8" s="2"/>
      <c r="E8" cm="1">
        <f t="array" ref="E8">IFERROR(
  $C8*1 -
  SUMPRODUCT(
    --IFERROR('STOK KULLANIM'!$D$2:$D$100002=$A8,0),
    --IFERROR('STOK KULLANIM'!$I$2:$I$100002=$D8,0),
    --( IFERROR('STOK KULLANIM'!$E$2:$E$100002=$B8,0) + IFERROR('STOK KULLANIM'!$E$2:$E$100002="",0) + ($B8="") &gt; 0 ),
    IFERROR('STOK KULLANIM'!$H$2:$H$100002,0)*1
  ),
  $C8*1
)</f>
        <v>0</v>
      </c>
    </row>
    <row r="9" spans="1:5" x14ac:dyDescent="0.3">
      <c r="A9" s="32" t="s">
        <v>202</v>
      </c>
      <c r="B9" s="2"/>
      <c r="E9" cm="1">
        <f t="array" ref="E9">IFERROR(
  $C9*1 -
  SUMPRODUCT(
    --IFERROR('STOK KULLANIM'!$D$2:$D$100002=$A9,0),
    --IFERROR('STOK KULLANIM'!$I$2:$I$100002=$D9,0),
    --( IFERROR('STOK KULLANIM'!$E$2:$E$100002=$B9,0) + IFERROR('STOK KULLANIM'!$E$2:$E$100002="",0) + ($B9="") &gt; 0 ),
    IFERROR('STOK KULLANIM'!$H$2:$H$100002,0)*1
  ),
  $C9*1
)</f>
        <v>0</v>
      </c>
    </row>
    <row r="10" spans="1:5" x14ac:dyDescent="0.3">
      <c r="A10" s="31" t="s">
        <v>203</v>
      </c>
      <c r="B10" s="2"/>
      <c r="E10" cm="1">
        <f t="array" ref="E10">IFERROR(
  $C10*1 -
  SUMPRODUCT(
    --IFERROR('STOK KULLANIM'!$D$2:$D$100002=$A10,0),
    --IFERROR('STOK KULLANIM'!$I$2:$I$100002=$D10,0),
    --( IFERROR('STOK KULLANIM'!$E$2:$E$100002=$B10,0) + IFERROR('STOK KULLANIM'!$E$2:$E$100002="",0) + ($B10="") &gt; 0 ),
    IFERROR('STOK KULLANIM'!$H$2:$H$100002,0)*1
  ),
  $C10*1
)</f>
        <v>0</v>
      </c>
    </row>
    <row r="11" spans="1:5" x14ac:dyDescent="0.3">
      <c r="A11" s="32" t="s">
        <v>204</v>
      </c>
      <c r="B11" s="2"/>
      <c r="E11" cm="1">
        <f t="array" ref="E11">IFERROR(
  $C11*1 -
  SUMPRODUCT(
    --IFERROR('STOK KULLANIM'!$D$2:$D$100002=$A11,0),
    --IFERROR('STOK KULLANIM'!$I$2:$I$100002=$D11,0),
    --( IFERROR('STOK KULLANIM'!$E$2:$E$100002=$B11,0) + IFERROR('STOK KULLANIM'!$E$2:$E$100002="",0) + ($B11="") &gt; 0 ),
    IFERROR('STOK KULLANIM'!$H$2:$H$100002,0)*1
  ),
  $C11*1
)</f>
        <v>0</v>
      </c>
    </row>
    <row r="12" spans="1:5" x14ac:dyDescent="0.3">
      <c r="A12" s="31" t="s">
        <v>205</v>
      </c>
      <c r="B12" s="2"/>
      <c r="E12" cm="1">
        <f t="array" ref="E12">IFERROR(
  $C12*1 -
  SUMPRODUCT(
    --IFERROR('STOK KULLANIM'!$D$2:$D$100002=$A12,0),
    --IFERROR('STOK KULLANIM'!$I$2:$I$100002=$D12,0),
    --( IFERROR('STOK KULLANIM'!$E$2:$E$100002=$B12,0) + IFERROR('STOK KULLANIM'!$E$2:$E$100002="",0) + ($B12="") &gt; 0 ),
    IFERROR('STOK KULLANIM'!$H$2:$H$100002,0)*1
  ),
  $C12*1
)</f>
        <v>0</v>
      </c>
    </row>
    <row r="13" spans="1:5" x14ac:dyDescent="0.3">
      <c r="A13" s="32" t="s">
        <v>206</v>
      </c>
      <c r="B13" s="2"/>
      <c r="E13" cm="1">
        <f t="array" ref="E13">IFERROR(
  $C13*1 -
  SUMPRODUCT(
    --IFERROR('STOK KULLANIM'!$D$2:$D$100002=$A13,0),
    --IFERROR('STOK KULLANIM'!$I$2:$I$100002=$D13,0),
    --( IFERROR('STOK KULLANIM'!$E$2:$E$100002=$B13,0) + IFERROR('STOK KULLANIM'!$E$2:$E$100002="",0) + ($B13="") &gt; 0 ),
    IFERROR('STOK KULLANIM'!$H$2:$H$100002,0)*1
  ),
  $C13*1
)</f>
        <v>0</v>
      </c>
    </row>
    <row r="14" spans="1:5" x14ac:dyDescent="0.3">
      <c r="A14" s="25"/>
      <c r="B14" s="2"/>
    </row>
    <row r="15" spans="1:5" x14ac:dyDescent="0.3">
      <c r="A15" s="25"/>
      <c r="B15" s="2"/>
    </row>
    <row r="16" spans="1:5" x14ac:dyDescent="0.3">
      <c r="A16" s="25"/>
      <c r="B16" s="2"/>
    </row>
    <row r="17" spans="1:2" x14ac:dyDescent="0.3">
      <c r="A17" s="25"/>
      <c r="B17" s="2"/>
    </row>
    <row r="18" spans="1:2" x14ac:dyDescent="0.3">
      <c r="A18" s="25"/>
      <c r="B18" s="2"/>
    </row>
    <row r="19" spans="1:2" x14ac:dyDescent="0.3">
      <c r="A19" s="25"/>
      <c r="B19" s="2"/>
    </row>
    <row r="20" spans="1:2" x14ac:dyDescent="0.3">
      <c r="A20" s="25"/>
      <c r="B20" s="2"/>
    </row>
    <row r="21" spans="1:2" x14ac:dyDescent="0.3">
      <c r="A21" s="25"/>
      <c r="B21" s="2"/>
    </row>
    <row r="22" spans="1:2" x14ac:dyDescent="0.3">
      <c r="A22" s="25"/>
      <c r="B22" s="2"/>
    </row>
    <row r="23" spans="1:2" x14ac:dyDescent="0.3">
      <c r="A23" s="25"/>
      <c r="B23" s="2"/>
    </row>
    <row r="24" spans="1:2" x14ac:dyDescent="0.3">
      <c r="A24" s="25"/>
      <c r="B24" s="2"/>
    </row>
    <row r="25" spans="1:2" x14ac:dyDescent="0.3">
      <c r="A25" s="25"/>
      <c r="B25" s="2"/>
    </row>
    <row r="26" spans="1:2" x14ac:dyDescent="0.3">
      <c r="A26" s="25"/>
      <c r="B26" s="2"/>
    </row>
    <row r="27" spans="1:2" x14ac:dyDescent="0.3">
      <c r="A27" s="25"/>
      <c r="B27" s="2"/>
    </row>
    <row r="28" spans="1:2" x14ac:dyDescent="0.3">
      <c r="A28" s="25"/>
      <c r="B28" s="2"/>
    </row>
    <row r="29" spans="1:2" x14ac:dyDescent="0.3">
      <c r="A29" s="25"/>
      <c r="B29" s="2"/>
    </row>
    <row r="30" spans="1:2" x14ac:dyDescent="0.3">
      <c r="A30" s="25"/>
      <c r="B30" s="2"/>
    </row>
    <row r="31" spans="1:2" x14ac:dyDescent="0.3">
      <c r="A31" s="25"/>
      <c r="B31" s="2"/>
    </row>
    <row r="32" spans="1:2" x14ac:dyDescent="0.3">
      <c r="A32" s="25"/>
      <c r="B32" s="2"/>
    </row>
    <row r="33" spans="1:2" x14ac:dyDescent="0.3">
      <c r="A33" s="25"/>
      <c r="B33" s="2"/>
    </row>
    <row r="34" spans="1:2" x14ac:dyDescent="0.3">
      <c r="A34" s="25"/>
      <c r="B34" s="2"/>
    </row>
    <row r="35" spans="1:2" x14ac:dyDescent="0.3">
      <c r="A35" s="25"/>
      <c r="B35" s="2"/>
    </row>
    <row r="36" spans="1:2" x14ac:dyDescent="0.3">
      <c r="A36" s="25"/>
      <c r="B36" s="2"/>
    </row>
    <row r="37" spans="1:2" x14ac:dyDescent="0.3">
      <c r="A37" s="25"/>
      <c r="B37" s="2"/>
    </row>
    <row r="38" spans="1:2" x14ac:dyDescent="0.3">
      <c r="A38" s="25"/>
      <c r="B38" s="2"/>
    </row>
    <row r="39" spans="1:2" x14ac:dyDescent="0.3">
      <c r="A39" s="25"/>
      <c r="B39" s="2"/>
    </row>
    <row r="40" spans="1:2" x14ac:dyDescent="0.3">
      <c r="A40" s="25"/>
      <c r="B40" s="2"/>
    </row>
    <row r="41" spans="1:2" x14ac:dyDescent="0.3">
      <c r="A41" s="25"/>
      <c r="B41" s="2"/>
    </row>
    <row r="42" spans="1:2" x14ac:dyDescent="0.3">
      <c r="A42" s="25"/>
      <c r="B42" s="2"/>
    </row>
    <row r="43" spans="1:2" x14ac:dyDescent="0.3">
      <c r="A43" s="25"/>
      <c r="B43" s="2"/>
    </row>
    <row r="44" spans="1:2" x14ac:dyDescent="0.3">
      <c r="A44" s="25"/>
      <c r="B44" s="2"/>
    </row>
    <row r="45" spans="1:2" x14ac:dyDescent="0.3">
      <c r="A45" s="25"/>
      <c r="B45" s="2"/>
    </row>
    <row r="46" spans="1:2" x14ac:dyDescent="0.3">
      <c r="A46" s="25"/>
      <c r="B46" s="2"/>
    </row>
    <row r="47" spans="1:2" x14ac:dyDescent="0.3">
      <c r="A47" s="25"/>
      <c r="B47" s="2"/>
    </row>
    <row r="48" spans="1:2" x14ac:dyDescent="0.3">
      <c r="A48" s="25"/>
      <c r="B48" s="2"/>
    </row>
    <row r="49" spans="1:2" x14ac:dyDescent="0.3">
      <c r="A49" s="25"/>
      <c r="B49" s="2"/>
    </row>
    <row r="50" spans="1:2" x14ac:dyDescent="0.3">
      <c r="A50" s="25"/>
      <c r="B50" s="2"/>
    </row>
    <row r="51" spans="1:2" x14ac:dyDescent="0.3">
      <c r="A51" s="25"/>
      <c r="B51" s="2"/>
    </row>
    <row r="52" spans="1:2" x14ac:dyDescent="0.3">
      <c r="A52" s="25"/>
      <c r="B52" s="2"/>
    </row>
    <row r="53" spans="1:2" x14ac:dyDescent="0.3">
      <c r="A53" s="25"/>
      <c r="B53" s="2"/>
    </row>
    <row r="54" spans="1:2" x14ac:dyDescent="0.3">
      <c r="A54" s="25"/>
      <c r="B54" s="2"/>
    </row>
    <row r="55" spans="1:2" x14ac:dyDescent="0.3">
      <c r="A55" s="25"/>
      <c r="B55" s="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336E-B810-48F2-8928-D10AF021FFF1}">
  <dimension ref="A1:E55"/>
  <sheetViews>
    <sheetView workbookViewId="0">
      <selection activeCell="F17" sqref="F17"/>
    </sheetView>
  </sheetViews>
  <sheetFormatPr defaultRowHeight="14.4" x14ac:dyDescent="0.3"/>
  <cols>
    <col min="1" max="1" width="24" customWidth="1"/>
    <col min="2" max="2" width="9.109375" customWidth="1"/>
    <col min="4" max="4" width="11.21875" customWidth="1"/>
    <col min="5" max="5" width="13.5546875" customWidth="1"/>
  </cols>
  <sheetData>
    <row r="1" spans="1:5" x14ac:dyDescent="0.3">
      <c r="A1" s="24" t="s">
        <v>0</v>
      </c>
      <c r="B1" s="4" t="s">
        <v>1</v>
      </c>
      <c r="C1" s="4" t="s">
        <v>2</v>
      </c>
      <c r="D1" s="4" t="s">
        <v>57</v>
      </c>
      <c r="E1" s="5" t="s">
        <v>60</v>
      </c>
    </row>
    <row r="2" spans="1:5" x14ac:dyDescent="0.3">
      <c r="A2" s="31" t="s">
        <v>207</v>
      </c>
      <c r="B2" s="2" t="s">
        <v>52</v>
      </c>
      <c r="C2">
        <v>35</v>
      </c>
      <c r="D2">
        <v>6000</v>
      </c>
      <c r="E2" cm="1">
        <f t="array" ref="E2">IFERROR(
  $C2*1 -
  SUMPRODUCT(
    --IFERROR('STOK KULLANIM'!$D$2:$D$100002=$A2,0),
    --IFERROR('STOK KULLANIM'!$I$2:$I$100002=$D2,0),
    --( IFERROR('STOK KULLANIM'!$E$2:$E$100002=$B2,0) + IFERROR('STOK KULLANIM'!$E$2:$E$100002="",0) + ($B2="") &gt; 0 ),
    IFERROR('STOK KULLANIM'!$H$2:$H$100002,0)*1
  ),
  $C2*1
)</f>
        <v>35</v>
      </c>
    </row>
    <row r="3" spans="1:5" x14ac:dyDescent="0.3">
      <c r="A3" s="25"/>
      <c r="B3" s="25"/>
      <c r="C3" s="25"/>
      <c r="D3" s="25"/>
      <c r="E3" s="25"/>
    </row>
    <row r="4" spans="1:5" x14ac:dyDescent="0.3">
      <c r="A4" s="25"/>
      <c r="B4" s="2"/>
    </row>
    <row r="5" spans="1:5" x14ac:dyDescent="0.3">
      <c r="A5" s="25"/>
      <c r="B5" s="2"/>
    </row>
    <row r="6" spans="1:5" x14ac:dyDescent="0.3">
      <c r="A6" s="25"/>
      <c r="B6" s="2"/>
    </row>
    <row r="7" spans="1:5" x14ac:dyDescent="0.3">
      <c r="A7" s="25"/>
      <c r="B7" s="2"/>
    </row>
    <row r="8" spans="1:5" x14ac:dyDescent="0.3">
      <c r="A8" s="25"/>
      <c r="B8" s="2"/>
    </row>
    <row r="9" spans="1:5" x14ac:dyDescent="0.3">
      <c r="A9" s="25"/>
      <c r="B9" s="2"/>
    </row>
    <row r="10" spans="1:5" x14ac:dyDescent="0.3">
      <c r="A10" s="25"/>
      <c r="B10" s="2"/>
    </row>
    <row r="11" spans="1:5" x14ac:dyDescent="0.3">
      <c r="A11" s="25"/>
      <c r="B11" s="2"/>
    </row>
    <row r="12" spans="1:5" x14ac:dyDescent="0.3">
      <c r="A12" s="25"/>
      <c r="B12" s="2"/>
    </row>
    <row r="13" spans="1:5" x14ac:dyDescent="0.3">
      <c r="A13" s="25"/>
      <c r="B13" s="2"/>
    </row>
    <row r="14" spans="1:5" x14ac:dyDescent="0.3">
      <c r="A14" s="25"/>
      <c r="B14" s="2"/>
    </row>
    <row r="15" spans="1:5" x14ac:dyDescent="0.3">
      <c r="A15" s="25"/>
      <c r="B15" s="2"/>
    </row>
    <row r="16" spans="1:5" x14ac:dyDescent="0.3">
      <c r="A16" s="25"/>
      <c r="B16" s="2"/>
    </row>
    <row r="17" spans="1:2" x14ac:dyDescent="0.3">
      <c r="A17" s="25"/>
      <c r="B17" s="2"/>
    </row>
    <row r="18" spans="1:2" x14ac:dyDescent="0.3">
      <c r="A18" s="25"/>
      <c r="B18" s="2"/>
    </row>
    <row r="19" spans="1:2" x14ac:dyDescent="0.3">
      <c r="A19" s="25"/>
      <c r="B19" s="2"/>
    </row>
    <row r="20" spans="1:2" x14ac:dyDescent="0.3">
      <c r="A20" s="25"/>
      <c r="B20" s="2"/>
    </row>
    <row r="21" spans="1:2" x14ac:dyDescent="0.3">
      <c r="A21" s="25"/>
      <c r="B21" s="2"/>
    </row>
    <row r="22" spans="1:2" x14ac:dyDescent="0.3">
      <c r="A22" s="25"/>
      <c r="B22" s="2"/>
    </row>
    <row r="23" spans="1:2" x14ac:dyDescent="0.3">
      <c r="A23" s="25"/>
      <c r="B23" s="2"/>
    </row>
    <row r="24" spans="1:2" x14ac:dyDescent="0.3">
      <c r="A24" s="25"/>
      <c r="B24" s="2"/>
    </row>
    <row r="25" spans="1:2" x14ac:dyDescent="0.3">
      <c r="A25" s="25"/>
      <c r="B25" s="2"/>
    </row>
    <row r="26" spans="1:2" x14ac:dyDescent="0.3">
      <c r="A26" s="25"/>
      <c r="B26" s="2"/>
    </row>
    <row r="27" spans="1:2" x14ac:dyDescent="0.3">
      <c r="A27" s="25"/>
      <c r="B27" s="2"/>
    </row>
    <row r="28" spans="1:2" x14ac:dyDescent="0.3">
      <c r="A28" s="25"/>
      <c r="B28" s="2"/>
    </row>
    <row r="29" spans="1:2" x14ac:dyDescent="0.3">
      <c r="A29" s="25"/>
      <c r="B29" s="2"/>
    </row>
    <row r="30" spans="1:2" x14ac:dyDescent="0.3">
      <c r="A30" s="25"/>
      <c r="B30" s="2"/>
    </row>
    <row r="31" spans="1:2" x14ac:dyDescent="0.3">
      <c r="A31" s="25"/>
      <c r="B31" s="2"/>
    </row>
    <row r="32" spans="1:2" x14ac:dyDescent="0.3">
      <c r="A32" s="25"/>
      <c r="B32" s="2"/>
    </row>
    <row r="33" spans="1:2" x14ac:dyDescent="0.3">
      <c r="A33" s="25"/>
      <c r="B33" s="2"/>
    </row>
    <row r="34" spans="1:2" x14ac:dyDescent="0.3">
      <c r="A34" s="25"/>
      <c r="B34" s="2"/>
    </row>
    <row r="35" spans="1:2" x14ac:dyDescent="0.3">
      <c r="A35" s="25"/>
      <c r="B35" s="2"/>
    </row>
    <row r="36" spans="1:2" x14ac:dyDescent="0.3">
      <c r="A36" s="25"/>
      <c r="B36" s="2"/>
    </row>
    <row r="37" spans="1:2" x14ac:dyDescent="0.3">
      <c r="A37" s="25"/>
      <c r="B37" s="2"/>
    </row>
    <row r="38" spans="1:2" x14ac:dyDescent="0.3">
      <c r="A38" s="25"/>
      <c r="B38" s="2"/>
    </row>
    <row r="39" spans="1:2" x14ac:dyDescent="0.3">
      <c r="A39" s="25"/>
      <c r="B39" s="2"/>
    </row>
    <row r="40" spans="1:2" x14ac:dyDescent="0.3">
      <c r="A40" s="25"/>
      <c r="B40" s="2"/>
    </row>
    <row r="41" spans="1:2" x14ac:dyDescent="0.3">
      <c r="A41" s="25"/>
      <c r="B41" s="2"/>
    </row>
    <row r="42" spans="1:2" x14ac:dyDescent="0.3">
      <c r="A42" s="25"/>
      <c r="B42" s="2"/>
    </row>
    <row r="43" spans="1:2" x14ac:dyDescent="0.3">
      <c r="A43" s="25"/>
      <c r="B43" s="2"/>
    </row>
    <row r="44" spans="1:2" x14ac:dyDescent="0.3">
      <c r="A44" s="25"/>
      <c r="B44" s="2"/>
    </row>
    <row r="45" spans="1:2" x14ac:dyDescent="0.3">
      <c r="A45" s="25"/>
      <c r="B45" s="2"/>
    </row>
    <row r="46" spans="1:2" x14ac:dyDescent="0.3">
      <c r="A46" s="25"/>
      <c r="B46" s="2"/>
    </row>
    <row r="47" spans="1:2" x14ac:dyDescent="0.3">
      <c r="A47" s="25"/>
      <c r="B47" s="2"/>
    </row>
    <row r="48" spans="1:2" x14ac:dyDescent="0.3">
      <c r="A48" s="25"/>
      <c r="B48" s="2"/>
    </row>
    <row r="49" spans="1:2" x14ac:dyDescent="0.3">
      <c r="A49" s="25"/>
      <c r="B49" s="2"/>
    </row>
    <row r="50" spans="1:2" x14ac:dyDescent="0.3">
      <c r="A50" s="25"/>
      <c r="B50" s="2"/>
    </row>
    <row r="51" spans="1:2" x14ac:dyDescent="0.3">
      <c r="A51" s="25"/>
      <c r="B51" s="2"/>
    </row>
    <row r="52" spans="1:2" x14ac:dyDescent="0.3">
      <c r="A52" s="25"/>
      <c r="B52" s="2"/>
    </row>
    <row r="53" spans="1:2" x14ac:dyDescent="0.3">
      <c r="A53" s="25"/>
      <c r="B53" s="2"/>
    </row>
    <row r="54" spans="1:2" x14ac:dyDescent="0.3">
      <c r="A54" s="25"/>
      <c r="B54" s="2"/>
    </row>
    <row r="55" spans="1:2" x14ac:dyDescent="0.3">
      <c r="A55" s="25"/>
      <c r="B55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12</vt:i4>
      </vt:variant>
    </vt:vector>
  </HeadingPairs>
  <TitlesOfParts>
    <vt:vector size="12" baseType="lpstr">
      <vt:lpstr>STOK KULLANIM</vt:lpstr>
      <vt:lpstr>FİRE DEPOSU</vt:lpstr>
      <vt:lpstr>KUTU PROFİL</vt:lpstr>
      <vt:lpstr>BORU PROFİL</vt:lpstr>
      <vt:lpstr>IPE PROFİL</vt:lpstr>
      <vt:lpstr>NPL PROFİL</vt:lpstr>
      <vt:lpstr>UNP PROFİL</vt:lpstr>
      <vt:lpstr>HEA PROFİL</vt:lpstr>
      <vt:lpstr>HEB PROFİL</vt:lpstr>
      <vt:lpstr>NPI PROFİL</vt:lpstr>
      <vt:lpstr>Ø PROFİL</vt:lpstr>
      <vt:lpstr>KARE DOLU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BURAKHAN KUTLU CİHAN</dc:creator>
  <cp:lastModifiedBy>BURAKHAN KUTLU CİHAN</cp:lastModifiedBy>
  <dcterms:created xsi:type="dcterms:W3CDTF">2015-06-05T18:19:34Z</dcterms:created>
  <dcterms:modified xsi:type="dcterms:W3CDTF">2025-08-29T14:12:10Z</dcterms:modified>
</cp:coreProperties>
</file>